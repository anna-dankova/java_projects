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F:\Šola\OZP\Exercises\"/>
    </mc:Choice>
  </mc:AlternateContent>
  <xr:revisionPtr revIDLastSave="0" documentId="8_{A487C872-8B70-4855-820A-355FC93616E2}" xr6:coauthVersionLast="47" xr6:coauthVersionMax="47" xr10:uidLastSave="{00000000-0000-0000-0000-000000000000}"/>
  <bookViews>
    <workbookView xWindow="-108" yWindow="-108" windowWidth="41496" windowHeight="16776" firstSheet="1" activeTab="3" xr2:uid="{00000000-000D-0000-FFFF-FFFF00000000}"/>
  </bookViews>
  <sheets>
    <sheet name="Dictionary | Slovar" sheetId="1" r:id="rId1"/>
    <sheet name="01 Exercises | Vaje" sheetId="3" r:id="rId2"/>
    <sheet name="01 (Solved) Exercises | Vaje" sheetId="2" r:id="rId3"/>
    <sheet name="01 Exercise B1 | Vaja B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G29" i="4"/>
  <c r="G28" i="4"/>
  <c r="G27" i="4"/>
  <c r="G26" i="4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32" i="3"/>
  <c r="F40" i="3"/>
  <c r="F39" i="3"/>
  <c r="F38" i="3"/>
  <c r="F37" i="3"/>
  <c r="F36" i="3"/>
  <c r="S15" i="3"/>
  <c r="S16" i="3"/>
  <c r="S17" i="3"/>
  <c r="S18" i="3"/>
  <c r="S19" i="3"/>
  <c r="S20" i="3"/>
  <c r="S21" i="3"/>
  <c r="S22" i="3"/>
  <c r="S23" i="3"/>
  <c r="S24" i="3"/>
  <c r="S25" i="3"/>
  <c r="S26" i="3"/>
  <c r="S14" i="3"/>
  <c r="E20" i="3"/>
  <c r="F11" i="3"/>
  <c r="F10" i="3"/>
  <c r="F7" i="3"/>
  <c r="AG38" i="2"/>
  <c r="AG35" i="2"/>
  <c r="AD38" i="2"/>
  <c r="AD35" i="2"/>
  <c r="X55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36" i="2"/>
  <c r="R8" i="2"/>
  <c r="R9" i="2"/>
  <c r="R10" i="2"/>
  <c r="R11" i="2"/>
  <c r="R12" i="2"/>
  <c r="R13" i="2"/>
  <c r="R14" i="2"/>
  <c r="R15" i="2"/>
  <c r="R16" i="2"/>
  <c r="R17" i="2"/>
  <c r="R18" i="2"/>
  <c r="R19" i="2"/>
  <c r="R7" i="2"/>
  <c r="O20" i="2"/>
  <c r="O19" i="2"/>
  <c r="O49" i="2"/>
  <c r="O48" i="2"/>
  <c r="F40" i="2"/>
  <c r="F39" i="2"/>
  <c r="F38" i="2"/>
  <c r="F37" i="2"/>
  <c r="F36" i="2"/>
  <c r="F11" i="2"/>
  <c r="F10" i="2"/>
  <c r="F9" i="2"/>
  <c r="F8" i="2"/>
  <c r="F7" i="2"/>
  <c r="F44" i="4" l="1"/>
  <c r="F43" i="4"/>
  <c r="F36" i="4"/>
  <c r="F35" i="4"/>
  <c r="O50" i="3"/>
  <c r="O49" i="3"/>
  <c r="O24" i="3"/>
  <c r="O23" i="3"/>
  <c r="E21" i="3"/>
</calcChain>
</file>

<file path=xl/sharedStrings.xml><?xml version="1.0" encoding="utf-8"?>
<sst xmlns="http://schemas.openxmlformats.org/spreadsheetml/2006/main" count="239" uniqueCount="145">
  <si>
    <t>Statistical concept</t>
  </si>
  <si>
    <t>Equation (formula)</t>
  </si>
  <si>
    <t>Description</t>
  </si>
  <si>
    <t>Opis</t>
  </si>
  <si>
    <t>Primer</t>
  </si>
  <si>
    <t>Dataset (nabor podatkov)</t>
  </si>
  <si>
    <t>Collection of observations</t>
  </si>
  <si>
    <t>Zbirka opazovanj</t>
  </si>
  <si>
    <t>Mean (povprečje, srednja vrednost)</t>
  </si>
  <si>
    <t>Average value</t>
  </si>
  <si>
    <t>Povprečna vrednost</t>
  </si>
  <si>
    <t>Mode (modus)</t>
  </si>
  <si>
    <t>Most frequent value</t>
  </si>
  <si>
    <t>Najbolj pogosta vrednost</t>
  </si>
  <si>
    <t>Median (mediana)</t>
  </si>
  <si>
    <t>*sort the data / razvrstite podatke</t>
  </si>
  <si>
    <t>Middle value</t>
  </si>
  <si>
    <t>Sredinska vrednost</t>
  </si>
  <si>
    <t>Variance (varianca)</t>
  </si>
  <si>
    <t>Measure of the spread of the data</t>
  </si>
  <si>
    <t>Izračun razpršenost podatkov</t>
  </si>
  <si>
    <t>Standard deviation (standardni odklon)</t>
  </si>
  <si>
    <t>Typical distance from the mean</t>
  </si>
  <si>
    <t>Tipična razdalja od povprečja</t>
  </si>
  <si>
    <t>Covariance (kovarianca)</t>
  </si>
  <si>
    <t>Measures how two variables vary together</t>
  </si>
  <si>
    <t>Meri, kako se dve spremenljivki spreminjata skupaj</t>
  </si>
  <si>
    <t>Pearson Correlation</t>
  </si>
  <si>
    <t>Strength and direction of a linear relationship (from -1 to 1)</t>
  </si>
  <si>
    <t>Moč in smer linearne povezave (od -1 do 1)</t>
  </si>
  <si>
    <t>Spearman Correlation</t>
  </si>
  <si>
    <t>Strength and direction of a monotonic relationship using ranks (from -1 to 1)</t>
  </si>
  <si>
    <t>Jakost in smer monotone povezave z uporabo rangov (od -1 do 1)</t>
  </si>
  <si>
    <t>*same as above but with using ranks (enako kot primer zgoraj, le da uporabimo range)</t>
  </si>
  <si>
    <t>"VSE" (pomembno za predmet) o Excelu</t>
  </si>
  <si>
    <t>https://youtu.be/TjSnQ4VDHTE</t>
  </si>
  <si>
    <t>Exercise 1 | Vaja 1</t>
  </si>
  <si>
    <t xml:space="preserve">The following dataset is given: </t>
  </si>
  <si>
    <t>17, 22, 47, 23, 17, 46, 32, 23, 17, 40, 200, 1, 10</t>
  </si>
  <si>
    <t>Podan je naslednji nabor podatkov:</t>
  </si>
  <si>
    <t>Observation | Opazovanje</t>
  </si>
  <si>
    <t>Value | Vrednost</t>
  </si>
  <si>
    <t>Calculate | Izračunajte:</t>
  </si>
  <si>
    <t>Mean (povprečje):</t>
  </si>
  <si>
    <t>(1+10+17+...+200): 13</t>
  </si>
  <si>
    <t>Mode (modus):</t>
  </si>
  <si>
    <t>(какое число встречается чаще всего)</t>
  </si>
  <si>
    <t>Median (mediana):</t>
  </si>
  <si>
    <t>(число по середине от мин до макс)</t>
  </si>
  <si>
    <t>Variance (varianca):</t>
  </si>
  <si>
    <t>(насколько сильно числа «разбросаны» и далеки от своего среднего значения)</t>
  </si>
  <si>
    <t>Standard deviation (standardni oklon):</t>
  </si>
  <si>
    <t>(среднее расстояние, на которое числа в наборе отклоняются (отходят) от центрального среднего значения)</t>
  </si>
  <si>
    <t>Are there any outliers?*</t>
  </si>
  <si>
    <t>Imamo kakšne osamelce (odstopanje)?*</t>
  </si>
  <si>
    <t>da(200)</t>
  </si>
  <si>
    <t>*Outliers differ from the mean by, say at least 3x Standard deviation.</t>
  </si>
  <si>
    <t>*Odstopajoče vrednosti se od povprečja razlikujejo za, recimo, vsaj 3x standardnega odklona.</t>
  </si>
  <si>
    <t xml:space="preserve">(48.52511 * 3) +povprecje </t>
  </si>
  <si>
    <t>самая высокая грница нормы</t>
  </si>
  <si>
    <t>Lower outlier threshold | Spodnja meja za osamelce</t>
  </si>
  <si>
    <t>Mean - 3x Standard deviation (Povprečje - 3x Standardni odklon):</t>
  </si>
  <si>
    <t>Upper outlier threshold | Zgornja meja za osamelce</t>
  </si>
  <si>
    <t>Mean + 3x Standard deviation (Povprečje + 3x Standardni odklon):</t>
  </si>
  <si>
    <t>Exercise 2 | Vaja 2</t>
  </si>
  <si>
    <t>In IT competition in the last 20 years the following number of students applied:</t>
  </si>
  <si>
    <t>87, 103, 130, 160, 180, 195, 132, 145, 211, 105, 145, 153, 152, 138, 87, 99, 93, 119, 129, 145</t>
  </si>
  <si>
    <t xml:space="preserve">
Na tekmovanje iz informatike se je v zadnjih 20 letih prijavilo naslednje število dijakov:</t>
  </si>
  <si>
    <t>Year | Leto</t>
  </si>
  <si>
    <t>Calculate | Izračunajte</t>
  </si>
  <si>
    <t>AVERAGE</t>
  </si>
  <si>
    <t>MODE.SNGL</t>
  </si>
  <si>
    <t>MEDIAN</t>
  </si>
  <si>
    <t>VAR.P</t>
  </si>
  <si>
    <t>STDEV.P</t>
  </si>
  <si>
    <t>*Outliers differ from the mean by, say at least 2x Standard deviation.</t>
  </si>
  <si>
    <t>*Odstopajoče vrednosti se od povprečja razlikujejo za, recimo, vsaj 2x standardnega odklona.</t>
  </si>
  <si>
    <t>Mean - 2x Standard deviation (Povprečje - 3x Standardni odklon):</t>
  </si>
  <si>
    <t>Mean + 2x Standard deviation (Povprečje + 3x Standardni odklon):</t>
  </si>
  <si>
    <t>Maximum number of applicants</t>
  </si>
  <si>
    <t>Year</t>
  </si>
  <si>
    <t>Največje število prijavljenih dijakov</t>
  </si>
  <si>
    <t>Leto</t>
  </si>
  <si>
    <t>Minimum number of applicants</t>
  </si>
  <si>
    <t>Najnižje število prijavljenih dijakov</t>
  </si>
  <si>
    <t>Outlier | Osamelec</t>
  </si>
  <si>
    <t>Yes (200)</t>
  </si>
  <si>
    <t>Da (200)</t>
  </si>
  <si>
    <t>Lower bound | Spodnja meja</t>
  </si>
  <si>
    <t>Upper bound | Zgornja meja</t>
  </si>
  <si>
    <t>Yes (211)</t>
  </si>
  <si>
    <t>Da (211)</t>
  </si>
  <si>
    <t>Mean - 2x Standard deviation (Povprečje - 2x Standardni odklon):</t>
  </si>
  <si>
    <t>Mean + 2x Standard deviation (Povprečje + 2x Standardni odklon):</t>
  </si>
  <si>
    <t>EXERCISE B1</t>
  </si>
  <si>
    <t>VAJA B1</t>
  </si>
  <si>
    <t>1.korak</t>
  </si>
  <si>
    <t>kategorija</t>
  </si>
  <si>
    <t>vrednost</t>
  </si>
  <si>
    <t>STEP 1</t>
  </si>
  <si>
    <t>1. KORAK</t>
  </si>
  <si>
    <t>C</t>
  </si>
  <si>
    <t>Use Excel functions to generate a dataset containing random values.</t>
  </si>
  <si>
    <t>S pomočjo Excelovih funkcij ustvarite nabor naključnih podatkov.</t>
  </si>
  <si>
    <t>B</t>
  </si>
  <si>
    <t>The dataset should contain at least 20 observations (rows).</t>
  </si>
  <si>
    <t>Nabor podatkov naj vsebuje vsaj 20 opazovanj (vrstic).</t>
  </si>
  <si>
    <t>A</t>
  </si>
  <si>
    <t>The Category column should contain randomly selected categories A, B, or C. Use the IF and RANDBETWEEN functions.</t>
  </si>
  <si>
    <t>Stolpec Kategorija naj vsebuje naključno izbrane kategorije A, B ali C. Pri tem uporabite funkciji IF in RANDBETWEEN.</t>
  </si>
  <si>
    <t>The Value column should contain random integers between 10 and 100 (including both endpoints). Use the RANDBETWEEN function.</t>
  </si>
  <si>
    <t>Stolpec Vrednost naj vsebuje naključna cela števila med 10 in 100 (vključno z mejnima vrednostma). Uporabite funkcijo RANDBETWEEN.</t>
  </si>
  <si>
    <t>STEP 2</t>
  </si>
  <si>
    <t>2. KORAK</t>
  </si>
  <si>
    <t>Calculate the following statistical measures:</t>
  </si>
  <si>
    <t>Izračunajte:</t>
  </si>
  <si>
    <t>- Mean</t>
  </si>
  <si>
    <t>- Povprečje</t>
  </si>
  <si>
    <t>- Mode</t>
  </si>
  <si>
    <t>- Modus</t>
  </si>
  <si>
    <t>- Median</t>
  </si>
  <si>
    <t>- Mediano</t>
  </si>
  <si>
    <t>- Variance</t>
  </si>
  <si>
    <t>- Varianco</t>
  </si>
  <si>
    <t>- Standard deviation</t>
  </si>
  <si>
    <t>- Standardni odklon</t>
  </si>
  <si>
    <t>STEP 3</t>
  </si>
  <si>
    <t>3. KORAK</t>
  </si>
  <si>
    <t>Identify outliers that differ from the mean by at least 2x standard deviation.</t>
  </si>
  <si>
    <t>Odstopajoče vrednosti naj se razlikujejo za vsaj 2x standardnega odklona.</t>
  </si>
  <si>
    <t>Which values are identified as outliers, and how many are there?</t>
  </si>
  <si>
    <t>Koliko odstopajočih vrednosti imamo in koliko jih je?</t>
  </si>
  <si>
    <t>STEP 4</t>
  </si>
  <si>
    <t>4. KORAK</t>
  </si>
  <si>
    <t>Now identify outliers that differ from the mean by at least 3x standard deviation.</t>
  </si>
  <si>
    <t>Odstopajoče vrednosti naj se sedaj razlikujejo za vsaj 3x standardnega odklona.</t>
  </si>
  <si>
    <t>2.korak</t>
  </si>
  <si>
    <t>3.korak</t>
  </si>
  <si>
    <t>za 2</t>
  </si>
  <si>
    <t>spodnja</t>
  </si>
  <si>
    <t>zgornja</t>
  </si>
  <si>
    <t>odstopajoce vrednosti :</t>
  </si>
  <si>
    <t>4.korak</t>
  </si>
  <si>
    <t>za 3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</si>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</sst>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double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Border="1"/>
    <xf numFmtId="0" fontId="1" fillId="0" borderId="0" xfId="0" applyFont="1" applyBorder="1"/>
    <xf numFmtId="0" fontId="0" fillId="4" borderId="0" xfId="0" applyFill="1"/>
    <xf numFmtId="0" fontId="0" fillId="4" borderId="0" xfId="0" applyFill="1" applyAlignment="1">
      <alignment horizontal="left" indent="1"/>
    </xf>
    <xf numFmtId="0" fontId="0" fillId="5" borderId="2" xfId="0" applyFont="1" applyFill="1" applyBorder="1"/>
    <xf numFmtId="0" fontId="0" fillId="0" borderId="2" xfId="0" applyFont="1" applyBorder="1"/>
    <xf numFmtId="0" fontId="0" fillId="5" borderId="3" xfId="0" applyFont="1" applyFill="1" applyBorder="1"/>
    <xf numFmtId="2" fontId="0" fillId="5" borderId="2" xfId="0" applyNumberFormat="1" applyFont="1" applyFill="1" applyBorder="1"/>
    <xf numFmtId="2" fontId="0" fillId="0" borderId="2" xfId="0" applyNumberFormat="1" applyFont="1" applyBorder="1"/>
    <xf numFmtId="0" fontId="3" fillId="0" borderId="0" xfId="0" applyFont="1"/>
    <xf numFmtId="49" fontId="0" fillId="6" borderId="0" xfId="0" applyNumberFormat="1" applyFill="1"/>
    <xf numFmtId="0" fontId="0" fillId="6" borderId="0" xfId="0" applyFill="1"/>
    <xf numFmtId="0" fontId="0" fillId="7" borderId="0" xfId="0" applyFill="1"/>
    <xf numFmtId="49" fontId="1" fillId="7" borderId="0" xfId="0" applyNumberFormat="1" applyFont="1" applyFill="1"/>
    <xf numFmtId="0" fontId="1" fillId="7" borderId="0" xfId="0" applyFont="1" applyFill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border outline="0">
        <top style="thin">
          <color rgb="FF000000"/>
        </top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Vrednost</a:t>
            </a:r>
            <a:r>
              <a:rPr lang="sl-SI" baseline="0"/>
              <a:t> po letih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 (Solved) Exercises | Vaje'!$V$35</c:f>
              <c:strCache>
                <c:ptCount val="1"/>
                <c:pt idx="0">
                  <c:v>Value | Vrednost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'01 (Solved) Exercises | Vaje'!$U$36:$U$55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'01 (Solved) Exercises | Vaje'!$V$36:$V$55</c:f>
              <c:numCache>
                <c:formatCode>General</c:formatCode>
                <c:ptCount val="20"/>
                <c:pt idx="0">
                  <c:v>87</c:v>
                </c:pt>
                <c:pt idx="1">
                  <c:v>103</c:v>
                </c:pt>
                <c:pt idx="2">
                  <c:v>130</c:v>
                </c:pt>
                <c:pt idx="3">
                  <c:v>160</c:v>
                </c:pt>
                <c:pt idx="4">
                  <c:v>180</c:v>
                </c:pt>
                <c:pt idx="5">
                  <c:v>195</c:v>
                </c:pt>
                <c:pt idx="6">
                  <c:v>132</c:v>
                </c:pt>
                <c:pt idx="7">
                  <c:v>145</c:v>
                </c:pt>
                <c:pt idx="8">
                  <c:v>211</c:v>
                </c:pt>
                <c:pt idx="9">
                  <c:v>105</c:v>
                </c:pt>
                <c:pt idx="10">
                  <c:v>145</c:v>
                </c:pt>
                <c:pt idx="11">
                  <c:v>153</c:v>
                </c:pt>
                <c:pt idx="12">
                  <c:v>152</c:v>
                </c:pt>
                <c:pt idx="13">
                  <c:v>138</c:v>
                </c:pt>
                <c:pt idx="14">
                  <c:v>87</c:v>
                </c:pt>
                <c:pt idx="15">
                  <c:v>99</c:v>
                </c:pt>
                <c:pt idx="16">
                  <c:v>93</c:v>
                </c:pt>
                <c:pt idx="17">
                  <c:v>119</c:v>
                </c:pt>
                <c:pt idx="18">
                  <c:v>129</c:v>
                </c:pt>
                <c:pt idx="1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5-4B27-B258-163A29F8E4C2}"/>
            </c:ext>
          </c:extLst>
        </c:ser>
        <c:ser>
          <c:idx val="1"/>
          <c:order val="1"/>
          <c:tx>
            <c:strRef>
              <c:f>'01 (Solved) Exercises | Vaje'!$W$35</c:f>
              <c:strCache>
                <c:ptCount val="1"/>
                <c:pt idx="0">
                  <c:v>Lower bound | Spodnja meja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'01 (Solved) Exercises | Vaje'!$U$36:$U$55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'01 (Solved) Exercises | Vaje'!$W$36:$W$55</c:f>
              <c:numCache>
                <c:formatCode>General</c:formatCode>
                <c:ptCount val="20"/>
                <c:pt idx="0">
                  <c:v>67.779293112242613</c:v>
                </c:pt>
                <c:pt idx="1">
                  <c:v>67.779293112242613</c:v>
                </c:pt>
                <c:pt idx="2">
                  <c:v>67.779293112242613</c:v>
                </c:pt>
                <c:pt idx="3">
                  <c:v>67.779293112242613</c:v>
                </c:pt>
                <c:pt idx="4">
                  <c:v>67.779293112242613</c:v>
                </c:pt>
                <c:pt idx="5">
                  <c:v>67.779293112242613</c:v>
                </c:pt>
                <c:pt idx="6">
                  <c:v>67.779293112242613</c:v>
                </c:pt>
                <c:pt idx="7">
                  <c:v>67.779293112242613</c:v>
                </c:pt>
                <c:pt idx="8">
                  <c:v>67.779293112242613</c:v>
                </c:pt>
                <c:pt idx="9">
                  <c:v>67.779293112242613</c:v>
                </c:pt>
                <c:pt idx="10">
                  <c:v>67.779293112242613</c:v>
                </c:pt>
                <c:pt idx="11">
                  <c:v>67.779293112242613</c:v>
                </c:pt>
                <c:pt idx="12">
                  <c:v>67.779293112242613</c:v>
                </c:pt>
                <c:pt idx="13">
                  <c:v>67.779293112242613</c:v>
                </c:pt>
                <c:pt idx="14">
                  <c:v>67.779293112242613</c:v>
                </c:pt>
                <c:pt idx="15">
                  <c:v>67.779293112242613</c:v>
                </c:pt>
                <c:pt idx="16">
                  <c:v>67.779293112242613</c:v>
                </c:pt>
                <c:pt idx="17">
                  <c:v>67.779293112242613</c:v>
                </c:pt>
                <c:pt idx="18">
                  <c:v>67.779293112242613</c:v>
                </c:pt>
                <c:pt idx="19">
                  <c:v>67.779293112242613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5-4B27-B258-163A29F8E4C2}"/>
            </c:ext>
          </c:extLst>
        </c:ser>
        <c:ser>
          <c:idx val="2"/>
          <c:order val="2"/>
          <c:tx>
            <c:strRef>
              <c:f>'01 (Solved) Exercises | Vaje'!$X$35</c:f>
              <c:strCache>
                <c:ptCount val="1"/>
                <c:pt idx="0">
                  <c:v>Upper bound | Zgornja meja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'01 (Solved) Exercises | Vaje'!$U$36:$U$55</c:f>
              <c:numCache>
                <c:formatCode>General</c:formatCode>
                <c:ptCount val="2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</c:numCache>
            </c:numRef>
          </c:cat>
          <c:val>
            <c:numRef>
              <c:f>'01 (Solved) Exercises | Vaje'!$X$36:$X$55</c:f>
              <c:numCache>
                <c:formatCode>General</c:formatCode>
                <c:ptCount val="20"/>
                <c:pt idx="0">
                  <c:v>203.0207068877574</c:v>
                </c:pt>
                <c:pt idx="1">
                  <c:v>203.0207068877574</c:v>
                </c:pt>
                <c:pt idx="2">
                  <c:v>203.0207068877574</c:v>
                </c:pt>
                <c:pt idx="3">
                  <c:v>203.0207068877574</c:v>
                </c:pt>
                <c:pt idx="4">
                  <c:v>203.0207068877574</c:v>
                </c:pt>
                <c:pt idx="5">
                  <c:v>203.0207068877574</c:v>
                </c:pt>
                <c:pt idx="6">
                  <c:v>203.0207068877574</c:v>
                </c:pt>
                <c:pt idx="7">
                  <c:v>203.0207068877574</c:v>
                </c:pt>
                <c:pt idx="8">
                  <c:v>203.0207068877574</c:v>
                </c:pt>
                <c:pt idx="9">
                  <c:v>203.0207068877574</c:v>
                </c:pt>
                <c:pt idx="10">
                  <c:v>203.0207068877574</c:v>
                </c:pt>
                <c:pt idx="11">
                  <c:v>203.0207068877574</c:v>
                </c:pt>
                <c:pt idx="12">
                  <c:v>203.0207068877574</c:v>
                </c:pt>
                <c:pt idx="13">
                  <c:v>203.0207068877574</c:v>
                </c:pt>
                <c:pt idx="14">
                  <c:v>203.0207068877574</c:v>
                </c:pt>
                <c:pt idx="15">
                  <c:v>203.0207068877574</c:v>
                </c:pt>
                <c:pt idx="16">
                  <c:v>203.0207068877574</c:v>
                </c:pt>
                <c:pt idx="17">
                  <c:v>203.0207068877574</c:v>
                </c:pt>
                <c:pt idx="18">
                  <c:v>203.0207068877574</c:v>
                </c:pt>
                <c:pt idx="19">
                  <c:v>203.0207068877574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F5-4B27-B258-163A29F8E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09328"/>
        <c:axId val="427395216"/>
      </c:lineChart>
      <c:catAx>
        <c:axId val="43960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27395216"/>
        <c:crosses val="autoZero"/>
        <c:auto val="1"/>
        <c:lblAlgn val="ctr"/>
        <c:lblOffset val="100"/>
        <c:noMultiLvlLbl val="0"/>
      </c:catAx>
      <c:valAx>
        <c:axId val="4273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396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137160</xdr:colOff>
      <xdr:row>1</xdr:row>
      <xdr:rowOff>156210</xdr:rowOff>
    </xdr:from>
    <xdr:ext cx="118705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724ADA-DC25-A612-F6BF-0E3DD571C824}"/>
                </a:ext>
              </a:extLst>
            </xdr:cNvPr>
            <xdr:cNvSpPr txBox="1"/>
          </xdr:nvSpPr>
          <xdr:spPr>
            <a:xfrm>
              <a:off x="2522220" y="918210"/>
              <a:ext cx="11870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A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{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724ADA-DC25-A612-F6BF-0E3DD571C824}"/>
                </a:ext>
              </a:extLst>
            </xdr:cNvPr>
            <xdr:cNvSpPr txBox="1"/>
          </xdr:nvSpPr>
          <xdr:spPr>
            <a:xfrm>
              <a:off x="2522220" y="918210"/>
              <a:ext cx="11870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"A"=〖{𝑋〗_1, 𝑋_2, …,𝑋_𝑛}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118528</xdr:colOff>
      <xdr:row>1</xdr:row>
      <xdr:rowOff>129540</xdr:rowOff>
    </xdr:from>
    <xdr:ext cx="9500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B503A97-C6B9-475E-BA2E-C4542D672074}"/>
                </a:ext>
              </a:extLst>
            </xdr:cNvPr>
            <xdr:cNvSpPr txBox="1"/>
          </xdr:nvSpPr>
          <xdr:spPr>
            <a:xfrm>
              <a:off x="12950608" y="891540"/>
              <a:ext cx="9500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A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={3,5,7,7,8}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B503A97-C6B9-475E-BA2E-C4542D672074}"/>
                </a:ext>
              </a:extLst>
            </xdr:cNvPr>
            <xdr:cNvSpPr txBox="1"/>
          </xdr:nvSpPr>
          <xdr:spPr>
            <a:xfrm>
              <a:off x="12950608" y="891540"/>
              <a:ext cx="9500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"A"={3,5,7,7,8}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114300</xdr:colOff>
      <xdr:row>2</xdr:row>
      <xdr:rowOff>156046</xdr:rowOff>
    </xdr:from>
    <xdr:ext cx="746743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8606938-3250-4CDB-B6E8-3A5CD3649AF2}"/>
                </a:ext>
              </a:extLst>
            </xdr:cNvPr>
            <xdr:cNvSpPr txBox="1"/>
          </xdr:nvSpPr>
          <xdr:spPr>
            <a:xfrm>
              <a:off x="2499360" y="1680046"/>
              <a:ext cx="74674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8606938-3250-4CDB-B6E8-3A5CD3649AF2}"/>
                </a:ext>
              </a:extLst>
            </xdr:cNvPr>
            <xdr:cNvSpPr txBox="1"/>
          </xdr:nvSpPr>
          <xdr:spPr>
            <a:xfrm>
              <a:off x="2499360" y="1680046"/>
              <a:ext cx="74674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 ̅=1/𝑛 ∑24_(𝑖=1)^𝑛▒𝑥_𝑖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1665388</xdr:colOff>
      <xdr:row>1</xdr:row>
      <xdr:rowOff>137160</xdr:rowOff>
    </xdr:from>
    <xdr:ext cx="4081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6D11CA9-46E2-424A-9B38-0333172BBD7E}"/>
                </a:ext>
              </a:extLst>
            </xdr:cNvPr>
            <xdr:cNvSpPr txBox="1"/>
          </xdr:nvSpPr>
          <xdr:spPr>
            <a:xfrm>
              <a:off x="14497468" y="899160"/>
              <a:ext cx="4081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=5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6D11CA9-46E2-424A-9B38-0333172BBD7E}"/>
                </a:ext>
              </a:extLst>
            </xdr:cNvPr>
            <xdr:cNvSpPr txBox="1"/>
          </xdr:nvSpPr>
          <xdr:spPr>
            <a:xfrm>
              <a:off x="14497468" y="899160"/>
              <a:ext cx="4081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𝑛=5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121920</xdr:colOff>
      <xdr:row>2</xdr:row>
      <xdr:rowOff>41591</xdr:rowOff>
    </xdr:from>
    <xdr:ext cx="173175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C5F47B6-FA8E-4A35-BB60-63776E39E487}"/>
                </a:ext>
              </a:extLst>
            </xdr:cNvPr>
            <xdr:cNvSpPr txBox="1"/>
          </xdr:nvSpPr>
          <xdr:spPr>
            <a:xfrm>
              <a:off x="9250680" y="1565591"/>
              <a:ext cx="173175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3+5+7+7+8</m:t>
                        </m:r>
                      </m:e>
                    </m:d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C5F47B6-FA8E-4A35-BB60-63776E39E487}"/>
                </a:ext>
              </a:extLst>
            </xdr:cNvPr>
            <xdr:cNvSpPr txBox="1"/>
          </xdr:nvSpPr>
          <xdr:spPr>
            <a:xfrm>
              <a:off x="9250680" y="1565591"/>
              <a:ext cx="173175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 ̅=1/5×(3+5+7+7+8)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2324100</xdr:colOff>
      <xdr:row>2</xdr:row>
      <xdr:rowOff>41591</xdr:rowOff>
    </xdr:from>
    <xdr:ext cx="969753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99B6BE4-31AD-4D7E-90E2-410D0766722A}"/>
                </a:ext>
              </a:extLst>
            </xdr:cNvPr>
            <xdr:cNvSpPr txBox="1"/>
          </xdr:nvSpPr>
          <xdr:spPr>
            <a:xfrm>
              <a:off x="11452860" y="1565591"/>
              <a:ext cx="96975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×30=6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99B6BE4-31AD-4D7E-90E2-410D0766722A}"/>
                </a:ext>
              </a:extLst>
            </xdr:cNvPr>
            <xdr:cNvSpPr txBox="1"/>
          </xdr:nvSpPr>
          <xdr:spPr>
            <a:xfrm>
              <a:off x="11452860" y="1565591"/>
              <a:ext cx="96975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𝑋 ̅=1/5×30=6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129540</xdr:colOff>
      <xdr:row>3</xdr:row>
      <xdr:rowOff>304800</xdr:rowOff>
    </xdr:from>
    <xdr:ext cx="6747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D050D91-5E08-46AA-9267-57C777906791}"/>
                </a:ext>
              </a:extLst>
            </xdr:cNvPr>
            <xdr:cNvSpPr txBox="1"/>
          </xdr:nvSpPr>
          <xdr:spPr>
            <a:xfrm>
              <a:off x="12961620" y="2590800"/>
              <a:ext cx="6747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𝑀𝑜𝑑𝑒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=7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D050D91-5E08-46AA-9267-57C777906791}"/>
                </a:ext>
              </a:extLst>
            </xdr:cNvPr>
            <xdr:cNvSpPr txBox="1"/>
          </xdr:nvSpPr>
          <xdr:spPr>
            <a:xfrm>
              <a:off x="12961620" y="2590800"/>
              <a:ext cx="6747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𝑀𝑜𝑑𝑒=7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1127760</xdr:colOff>
      <xdr:row>3</xdr:row>
      <xdr:rowOff>297180</xdr:rowOff>
    </xdr:from>
    <xdr:ext cx="7050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3F92EA-DEC2-41F2-BF9D-CC6C0FF5A409}"/>
                </a:ext>
              </a:extLst>
            </xdr:cNvPr>
            <xdr:cNvSpPr txBox="1"/>
          </xdr:nvSpPr>
          <xdr:spPr>
            <a:xfrm>
              <a:off x="13959840" y="2583180"/>
              <a:ext cx="7050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𝐶𝑜𝑢𝑛𝑡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3F92EA-DEC2-41F2-BF9D-CC6C0FF5A409}"/>
                </a:ext>
              </a:extLst>
            </xdr:cNvPr>
            <xdr:cNvSpPr txBox="1"/>
          </xdr:nvSpPr>
          <xdr:spPr>
            <a:xfrm>
              <a:off x="13959840" y="2583180"/>
              <a:ext cx="7050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𝐶𝑜𝑢𝑛𝑡=2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137160</xdr:colOff>
      <xdr:row>4</xdr:row>
      <xdr:rowOff>289560</xdr:rowOff>
    </xdr:from>
    <xdr:ext cx="8031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3EBCD2-9A05-43BB-8DFC-9F861997660C}"/>
                </a:ext>
              </a:extLst>
            </xdr:cNvPr>
            <xdr:cNvSpPr txBox="1"/>
          </xdr:nvSpPr>
          <xdr:spPr>
            <a:xfrm>
              <a:off x="12969240" y="3337560"/>
              <a:ext cx="8031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𝑀𝑒𝑑𝑖𝑎𝑛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=7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8F3EBCD2-9A05-43BB-8DFC-9F861997660C}"/>
                </a:ext>
              </a:extLst>
            </xdr:cNvPr>
            <xdr:cNvSpPr txBox="1"/>
          </xdr:nvSpPr>
          <xdr:spPr>
            <a:xfrm>
              <a:off x="12969240" y="3337560"/>
              <a:ext cx="8031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𝑀𝑒𝑑𝑖𝑎𝑛=7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160020</xdr:colOff>
      <xdr:row>5</xdr:row>
      <xdr:rowOff>140970</xdr:rowOff>
    </xdr:from>
    <xdr:ext cx="1206035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E845C16-7488-2C2A-0A8A-9560B5BBD17D}"/>
                </a:ext>
              </a:extLst>
            </xdr:cNvPr>
            <xdr:cNvSpPr txBox="1"/>
          </xdr:nvSpPr>
          <xdr:spPr>
            <a:xfrm>
              <a:off x="2545080" y="3950970"/>
              <a:ext cx="120603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sl-S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sl-S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sl-S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sl-SI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sl-S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sl-SI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E845C16-7488-2C2A-0A8A-9560B5BBD17D}"/>
                </a:ext>
              </a:extLst>
            </xdr:cNvPr>
            <xdr:cNvSpPr txBox="1"/>
          </xdr:nvSpPr>
          <xdr:spPr>
            <a:xfrm>
              <a:off x="2545080" y="3950970"/>
              <a:ext cx="1206035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sl-SI" sz="1100" b="0" i="0">
                  <a:latin typeface="Cambria Math" panose="02040503050406030204" pitchFamily="18" charset="0"/>
                </a:rPr>
                <a:t>𝑆^2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1/𝑛 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∑24_(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𝑖=1)^𝑛▒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(𝑥_𝑖</a:t>
              </a:r>
              <a:r>
                <a:rPr lang="sl-S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 ̅ )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175260</xdr:colOff>
      <xdr:row>5</xdr:row>
      <xdr:rowOff>34290</xdr:rowOff>
    </xdr:from>
    <xdr:ext cx="6096797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3A95B3F-E842-FE1D-C085-0E914CDB626E}"/>
                </a:ext>
              </a:extLst>
            </xdr:cNvPr>
            <xdr:cNvSpPr txBox="1"/>
          </xdr:nvSpPr>
          <xdr:spPr>
            <a:xfrm>
              <a:off x="9304020" y="3844290"/>
              <a:ext cx="60967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3−6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sl-SI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5−6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7−6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7−6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8−6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9+1+1+1+4</m:t>
                        </m:r>
                      </m:e>
                    </m:d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3,2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3A95B3F-E842-FE1D-C085-0E914CDB626E}"/>
                </a:ext>
              </a:extLst>
            </xdr:cNvPr>
            <xdr:cNvSpPr txBox="1"/>
          </xdr:nvSpPr>
          <xdr:spPr>
            <a:xfrm>
              <a:off x="9304020" y="3844290"/>
              <a:ext cx="60967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𝑆^2〗_𝐴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1/5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×((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3−6)^2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sl-S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1/5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9+1+1+1+4)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3,2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144780</xdr:colOff>
      <xdr:row>6</xdr:row>
      <xdr:rowOff>64770</xdr:rowOff>
    </xdr:from>
    <xdr:ext cx="124444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A7A58C9-793E-26F6-8DC9-709D65CF616C}"/>
                </a:ext>
              </a:extLst>
            </xdr:cNvPr>
            <xdr:cNvSpPr txBox="1"/>
          </xdr:nvSpPr>
          <xdr:spPr>
            <a:xfrm>
              <a:off x="2529840" y="4636770"/>
              <a:ext cx="124444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sl-SI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sl-SI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sl-SI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sl-SI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sl-SI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sl-SI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sl-SI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  <m:sup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A7A58C9-793E-26F6-8DC9-709D65CF616C}"/>
                </a:ext>
              </a:extLst>
            </xdr:cNvPr>
            <xdr:cNvSpPr txBox="1"/>
          </xdr:nvSpPr>
          <xdr:spPr>
            <a:xfrm>
              <a:off x="2529840" y="4636770"/>
              <a:ext cx="124444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sl-SI" sz="1100" b="0" i="0">
                  <a:latin typeface="Cambria Math" panose="02040503050406030204" pitchFamily="18" charset="0"/>
                </a:rPr>
                <a:t>𝑆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=√(1/𝑛 ∑24_(𝑖=1)^𝑛▒(𝑥_𝑖−𝑥 ̅ )^2 )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167640</xdr:colOff>
      <xdr:row>6</xdr:row>
      <xdr:rowOff>102870</xdr:rowOff>
    </xdr:from>
    <xdr:ext cx="1127616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8B51CE3-AA50-510D-57F3-64156981724D}"/>
                </a:ext>
              </a:extLst>
            </xdr:cNvPr>
            <xdr:cNvSpPr txBox="1"/>
          </xdr:nvSpPr>
          <xdr:spPr>
            <a:xfrm>
              <a:off x="9296400" y="4674870"/>
              <a:ext cx="112761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3,2</m:t>
                        </m:r>
                      </m:e>
                    </m:rad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=1,79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8B51CE3-AA50-510D-57F3-64156981724D}"/>
                </a:ext>
              </a:extLst>
            </xdr:cNvPr>
            <xdr:cNvSpPr txBox="1"/>
          </xdr:nvSpPr>
          <xdr:spPr>
            <a:xfrm>
              <a:off x="9296400" y="4674870"/>
              <a:ext cx="112761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b="0" i="0">
                  <a:latin typeface="Cambria Math" panose="02040503050406030204" pitchFamily="18" charset="0"/>
                </a:rPr>
                <a:t>𝑆_𝐴=√3,2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=1,79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129540</xdr:colOff>
      <xdr:row>1</xdr:row>
      <xdr:rowOff>453390</xdr:rowOff>
    </xdr:from>
    <xdr:ext cx="11167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1F3E1AD-CFA2-42E6-BE4C-0EF77B88B82F}"/>
                </a:ext>
              </a:extLst>
            </xdr:cNvPr>
            <xdr:cNvSpPr txBox="1"/>
          </xdr:nvSpPr>
          <xdr:spPr>
            <a:xfrm>
              <a:off x="2514600" y="1215390"/>
              <a:ext cx="11167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B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{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</m:t>
                    </m:r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1F3E1AD-CFA2-42E6-BE4C-0EF77B88B82F}"/>
                </a:ext>
              </a:extLst>
            </xdr:cNvPr>
            <xdr:cNvSpPr txBox="1"/>
          </xdr:nvSpPr>
          <xdr:spPr>
            <a:xfrm>
              <a:off x="2514600" y="1215390"/>
              <a:ext cx="11167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"B"=〖{𝑌〗_1, 𝑌_2, …,𝑌_𝑛}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110908</xdr:colOff>
      <xdr:row>1</xdr:row>
      <xdr:rowOff>464820</xdr:rowOff>
    </xdr:from>
    <xdr:ext cx="13388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98A4489-8587-41C7-ACEB-27AB8FC0DA98}"/>
                </a:ext>
              </a:extLst>
            </xdr:cNvPr>
            <xdr:cNvSpPr txBox="1"/>
          </xdr:nvSpPr>
          <xdr:spPr>
            <a:xfrm>
              <a:off x="12942988" y="1226820"/>
              <a:ext cx="13388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B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={10,30,50,50,60} 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98A4489-8587-41C7-ACEB-27AB8FC0DA98}"/>
                </a:ext>
              </a:extLst>
            </xdr:cNvPr>
            <xdr:cNvSpPr txBox="1"/>
          </xdr:nvSpPr>
          <xdr:spPr>
            <a:xfrm>
              <a:off x="12942988" y="1226820"/>
              <a:ext cx="13388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"B"={10,30,50,50,60} 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83820</xdr:colOff>
      <xdr:row>7</xdr:row>
      <xdr:rowOff>171450</xdr:rowOff>
    </xdr:from>
    <xdr:ext cx="2298193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DC8C5DF-596C-E720-CFB8-902E482A8111}"/>
                </a:ext>
              </a:extLst>
            </xdr:cNvPr>
            <xdr:cNvSpPr txBox="1"/>
          </xdr:nvSpPr>
          <xdr:spPr>
            <a:xfrm>
              <a:off x="2194560" y="5505450"/>
              <a:ext cx="229819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</a:rPr>
                      <m:t>𝐶𝑜𝑣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d>
                      </m:e>
                    </m:nary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DC8C5DF-596C-E720-CFB8-902E482A8111}"/>
                </a:ext>
              </a:extLst>
            </xdr:cNvPr>
            <xdr:cNvSpPr txBox="1"/>
          </xdr:nvSpPr>
          <xdr:spPr>
            <a:xfrm>
              <a:off x="2194560" y="5505450"/>
              <a:ext cx="229819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sl-SI" sz="1100" b="0" i="0">
                  <a:latin typeface="Cambria Math" panose="02040503050406030204" pitchFamily="18" charset="0"/>
                </a:rPr>
                <a:t>𝐶𝑜𝑣(𝐴,𝐵)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=1/𝑛 ∑24_(𝑖=1)^𝑛▒(𝑥_𝑖−𝑥 ̅ ) ×(𝑦_𝑖−𝑦 ̅ )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160020</xdr:colOff>
      <xdr:row>7</xdr:row>
      <xdr:rowOff>217170</xdr:rowOff>
    </xdr:from>
    <xdr:ext cx="5634684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654ECFC-C48B-384A-6F4F-510DADCFF4C8}"/>
                </a:ext>
              </a:extLst>
            </xdr:cNvPr>
            <xdr:cNvSpPr txBox="1"/>
          </xdr:nvSpPr>
          <xdr:spPr>
            <a:xfrm>
              <a:off x="9288780" y="5551170"/>
              <a:ext cx="5634684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</a:rPr>
                      <m:t>𝐶𝑜𝑣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</m:e>
                        </m:d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−30</m:t>
                            </m:r>
                          </m:e>
                        </m:d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−10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</m:d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d>
                          <m:d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20</m:t>
                            </m:r>
                          </m:e>
                        </m:d>
                      </m:e>
                    </m:d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=32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654ECFC-C48B-384A-6F4F-510DADCFF4C8}"/>
                </a:ext>
              </a:extLst>
            </xdr:cNvPr>
            <xdr:cNvSpPr txBox="1"/>
          </xdr:nvSpPr>
          <xdr:spPr>
            <a:xfrm>
              <a:off x="9288780" y="5551170"/>
              <a:ext cx="5634684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b="0" i="0">
                  <a:latin typeface="Cambria Math" panose="02040503050406030204" pitchFamily="18" charset="0"/>
                </a:rPr>
                <a:t>𝐶𝑜𝑣(𝐴,𝐵)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=1/5 ((−3)×(−30)+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=32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114300</xdr:colOff>
      <xdr:row>2</xdr:row>
      <xdr:rowOff>407351</xdr:rowOff>
    </xdr:from>
    <xdr:ext cx="2116285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A25864A-50F5-4431-9566-F2F2BA0E12B3}"/>
                </a:ext>
              </a:extLst>
            </xdr:cNvPr>
            <xdr:cNvSpPr txBox="1"/>
          </xdr:nvSpPr>
          <xdr:spPr>
            <a:xfrm>
              <a:off x="9243060" y="1931351"/>
              <a:ext cx="2116285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10+30+50+50+60</m:t>
                        </m:r>
                      </m:e>
                    </m:d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A25864A-50F5-4431-9566-F2F2BA0E12B3}"/>
                </a:ext>
              </a:extLst>
            </xdr:cNvPr>
            <xdr:cNvSpPr txBox="1"/>
          </xdr:nvSpPr>
          <xdr:spPr>
            <a:xfrm>
              <a:off x="9243060" y="1931351"/>
              <a:ext cx="2116285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 ̅=1/5×(10+30+50+50+60)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2316480</xdr:colOff>
      <xdr:row>2</xdr:row>
      <xdr:rowOff>407351</xdr:rowOff>
    </xdr:from>
    <xdr:ext cx="1119987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9B768D9-75AD-48CB-8BD8-AF010298BD76}"/>
                </a:ext>
              </a:extLst>
            </xdr:cNvPr>
            <xdr:cNvSpPr txBox="1"/>
          </xdr:nvSpPr>
          <xdr:spPr>
            <a:xfrm>
              <a:off x="11445240" y="1931351"/>
              <a:ext cx="111998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×200=40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9B768D9-75AD-48CB-8BD8-AF010298BD76}"/>
                </a:ext>
              </a:extLst>
            </xdr:cNvPr>
            <xdr:cNvSpPr txBox="1"/>
          </xdr:nvSpPr>
          <xdr:spPr>
            <a:xfrm>
              <a:off x="11445240" y="1931351"/>
              <a:ext cx="111998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l"/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𝑌 ̅=1/5×200=40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167640</xdr:colOff>
      <xdr:row>8</xdr:row>
      <xdr:rowOff>240030</xdr:rowOff>
    </xdr:from>
    <xdr:ext cx="1239121" cy="3500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10DCE3E-03BA-9A17-B369-381B9C451D7C}"/>
                </a:ext>
              </a:extLst>
            </xdr:cNvPr>
            <xdr:cNvSpPr txBox="1"/>
          </xdr:nvSpPr>
          <xdr:spPr>
            <a:xfrm>
              <a:off x="2278380" y="6336030"/>
              <a:ext cx="1239121" cy="3500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𝐶𝑜𝑣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sSub>
                          <m:sSub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10DCE3E-03BA-9A17-B369-381B9C451D7C}"/>
                </a:ext>
              </a:extLst>
            </xdr:cNvPr>
            <xdr:cNvSpPr txBox="1"/>
          </xdr:nvSpPr>
          <xdr:spPr>
            <a:xfrm>
              <a:off x="2278380" y="6336030"/>
              <a:ext cx="1239121" cy="3500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b="0" i="0">
                  <a:latin typeface="Cambria Math" panose="02040503050406030204" pitchFamily="18" charset="0"/>
                </a:rPr>
                <a:t>𝑟(𝐴,𝐵)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=(𝐶𝑜𝑣(𝐴,𝐵))/(𝑆_𝐴 𝑆_𝐵 )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167640</xdr:colOff>
      <xdr:row>5</xdr:row>
      <xdr:rowOff>392430</xdr:rowOff>
    </xdr:from>
    <xdr:ext cx="7553863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84C3C22-8CFD-4DA2-B482-B910811A2CCB}"/>
                </a:ext>
              </a:extLst>
            </xdr:cNvPr>
            <xdr:cNvSpPr txBox="1"/>
          </xdr:nvSpPr>
          <xdr:spPr>
            <a:xfrm>
              <a:off x="9296400" y="4202430"/>
              <a:ext cx="755386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10−40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sl-SI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30−40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50−40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50−40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sl-SI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sl-SI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60−40</m:t>
                                </m:r>
                              </m:e>
                            </m:d>
                          </m:e>
                          <m:sup>
                            <m:r>
                              <a:rPr lang="sl-SI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den>
                    </m:f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900+100+100+100+400</m:t>
                        </m:r>
                      </m:e>
                    </m:d>
                    <m:r>
                      <a:rPr lang="sl-SI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320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84C3C22-8CFD-4DA2-B482-B910811A2CCB}"/>
                </a:ext>
              </a:extLst>
            </xdr:cNvPr>
            <xdr:cNvSpPr txBox="1"/>
          </xdr:nvSpPr>
          <xdr:spPr>
            <a:xfrm>
              <a:off x="9296400" y="4202430"/>
              <a:ext cx="7553863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𝑆^2〗_𝐵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1/5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×((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10−40)^2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sl-SI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)^2</a:t>
              </a:r>
              <a:r>
                <a:rPr lang="sl-SI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1/5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900+100+100+100+400)</a:t>
              </a:r>
              <a:r>
                <a:rPr lang="sl-SI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320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4</xdr:col>
      <xdr:colOff>167640</xdr:colOff>
      <xdr:row>6</xdr:row>
      <xdr:rowOff>438150</xdr:rowOff>
    </xdr:from>
    <xdr:ext cx="118263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6AE7D69-9B99-4D83-A57A-6E907FA237C0}"/>
                </a:ext>
              </a:extLst>
            </xdr:cNvPr>
            <xdr:cNvSpPr txBox="1"/>
          </xdr:nvSpPr>
          <xdr:spPr>
            <a:xfrm>
              <a:off x="9296400" y="5010150"/>
              <a:ext cx="118263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sl-SI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sl-SI" sz="1100" b="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sl-SI" sz="1100" b="0" i="1">
                          <a:latin typeface="Cambria Math" panose="02040503050406030204" pitchFamily="18" charset="0"/>
                        </a:rPr>
                        <m:t>𝐵</m:t>
                      </m:r>
                    </m:sub>
                  </m:sSub>
                  <m:r>
                    <a:rPr lang="sl-SI" sz="1100" b="0" i="1">
                      <a:latin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sl-SI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sl-SI" sz="1100" b="0" i="1">
                          <a:latin typeface="Cambria Math" panose="02040503050406030204" pitchFamily="18" charset="0"/>
                        </a:rPr>
                        <m:t>320</m:t>
                      </m:r>
                    </m:e>
                  </m:rad>
                  <m:r>
                    <a:rPr lang="sl-SI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=17,</m:t>
                  </m:r>
                </m:oMath>
              </a14:m>
              <a:r>
                <a:rPr lang="sl-SI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89</a:t>
              </a: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6AE7D69-9B99-4D83-A57A-6E907FA237C0}"/>
                </a:ext>
              </a:extLst>
            </xdr:cNvPr>
            <xdr:cNvSpPr txBox="1"/>
          </xdr:nvSpPr>
          <xdr:spPr>
            <a:xfrm>
              <a:off x="9296400" y="5010150"/>
              <a:ext cx="118263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sl-SI" sz="1100" b="0" i="0">
                  <a:latin typeface="Cambria Math" panose="02040503050406030204" pitchFamily="18" charset="0"/>
                </a:rPr>
                <a:t>𝑆_𝐵=√320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=17,</a:t>
              </a:r>
              <a:r>
                <a:rPr lang="sl-SI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89</a:t>
              </a:r>
            </a:p>
          </xdr:txBody>
        </xdr:sp>
      </mc:Fallback>
    </mc:AlternateContent>
    <xdr:clientData/>
  </xdr:oneCellAnchor>
  <xdr:oneCellAnchor>
    <xdr:from>
      <xdr:col>4</xdr:col>
      <xdr:colOff>175260</xdr:colOff>
      <xdr:row>8</xdr:row>
      <xdr:rowOff>236220</xdr:rowOff>
    </xdr:from>
    <xdr:ext cx="1935466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D196801-6167-4167-809D-E9C18D0DB485}"/>
                </a:ext>
              </a:extLst>
            </xdr:cNvPr>
            <xdr:cNvSpPr txBox="1"/>
          </xdr:nvSpPr>
          <xdr:spPr>
            <a:xfrm>
              <a:off x="9304020" y="6332220"/>
              <a:ext cx="1935466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sl-SI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sl-SI" sz="1100" b="0" i="1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32</m:t>
                        </m:r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1,79×17,89</m:t>
                        </m:r>
                      </m:den>
                    </m:f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=0,999</m:t>
                    </m:r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D196801-6167-4167-809D-E9C18D0DB485}"/>
                </a:ext>
              </a:extLst>
            </xdr:cNvPr>
            <xdr:cNvSpPr txBox="1"/>
          </xdr:nvSpPr>
          <xdr:spPr>
            <a:xfrm>
              <a:off x="9304020" y="6332220"/>
              <a:ext cx="1935466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b="0" i="0">
                  <a:latin typeface="Cambria Math" panose="02040503050406030204" pitchFamily="18" charset="0"/>
                </a:rPr>
                <a:t>𝑟(𝐴,𝐵)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=32/(1,79×17,89)=0,999</a:t>
              </a:r>
              <a:endParaRPr lang="sl-SI" sz="1100"/>
            </a:p>
          </xdr:txBody>
        </xdr:sp>
      </mc:Fallback>
    </mc:AlternateContent>
    <xdr:clientData/>
  </xdr:oneCellAnchor>
  <xdr:oneCellAnchor>
    <xdr:from>
      <xdr:col>1</xdr:col>
      <xdr:colOff>182880</xdr:colOff>
      <xdr:row>9</xdr:row>
      <xdr:rowOff>209550</xdr:rowOff>
    </xdr:from>
    <xdr:ext cx="1511696" cy="3788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3BCC65A-032D-48DF-8351-A20F9AED2AC8}"/>
                </a:ext>
              </a:extLst>
            </xdr:cNvPr>
            <xdr:cNvSpPr txBox="1"/>
          </xdr:nvSpPr>
          <xdr:spPr>
            <a:xfrm>
              <a:off x="2293620" y="7067550"/>
              <a:ext cx="1511696" cy="378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d>
                      <m:dPr>
                        <m:ctrlPr>
                          <a:rPr lang="sl-SI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sl-SI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d>
                    <m:r>
                      <a:rPr lang="sl-SI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6</m:t>
                        </m:r>
                        <m:nary>
                          <m:naryPr>
                            <m:chr m:val="∑"/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sl-SI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sl-SI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𝑑</m:t>
                                    </m:r>
                                  </m:e>
                                  <m:sub>
                                    <m:r>
                                      <a:rPr lang="sl-SI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num>
                      <m:den>
                        <m:r>
                          <a:rPr lang="sl-SI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sl-SI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sl-SI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sl-SI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3BCC65A-032D-48DF-8351-A20F9AED2AC8}"/>
                </a:ext>
              </a:extLst>
            </xdr:cNvPr>
            <xdr:cNvSpPr txBox="1"/>
          </xdr:nvSpPr>
          <xdr:spPr>
            <a:xfrm>
              <a:off x="2293620" y="7067550"/>
              <a:ext cx="1511696" cy="3788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l-SI" sz="1100" b="0" i="0">
                  <a:latin typeface="Cambria Math" panose="02040503050406030204" pitchFamily="18" charset="0"/>
                </a:rPr>
                <a:t>𝑟_𝑠 (𝐴,𝐵)</a:t>
              </a:r>
              <a:r>
                <a:rPr lang="sl-SI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=1−(6∑24_(𝑖=1)^𝑛▒〖𝑑_𝑖〗^2 )/𝑛(𝑛^2−1) </a:t>
              </a:r>
              <a:endParaRPr lang="sl-SI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</xdr:colOff>
      <xdr:row>55</xdr:row>
      <xdr:rowOff>163830</xdr:rowOff>
    </xdr:from>
    <xdr:to>
      <xdr:col>26</xdr:col>
      <xdr:colOff>30480</xdr:colOff>
      <xdr:row>75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E62F96-0154-A0E2-72A1-BDD75CAD2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144AD-B207-40DD-B96A-4DABF4A24C9F}" name="Table1" displayName="Table1" ref="A6:B19" totalsRowShown="0" headerRowDxfId="2" tableBorderDxfId="1">
  <autoFilter ref="A6:B19" xr:uid="{935144AD-B207-40DD-B96A-4DABF4A24C9F}"/>
  <tableColumns count="2">
    <tableColumn id="1" xr3:uid="{3E1C9728-7749-4015-9D37-31F45BE9CB86}" name="Observation | Opazovanje"/>
    <tableColumn id="2" xr3:uid="{ECC8F5D4-A921-42B3-AEEA-C174BCBB2667}" name="Value | Vredn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36325-859F-4829-B7E1-942E4D24CAC5}" name="Table2" displayName="Table2" ref="A35:B55" totalsRowShown="0" headerRowDxfId="0">
  <autoFilter ref="A35:B55" xr:uid="{5EC36325-859F-4829-B7E1-942E4D24CAC5}"/>
  <tableColumns count="2">
    <tableColumn id="1" xr3:uid="{01B26DDC-DF4D-49DD-8E49-8CC622C1EB57}" name="Year | Leto"/>
    <tableColumn id="2" xr3:uid="{FCFA7B54-293A-43E3-A9E4-C516C2AD1E2E}" name="Value | Vredn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FB34C-35C0-4FC3-921F-CF3EEE07533A}" name="Table3" displayName="Table3" ref="E2:F22" totalsRowShown="0">
  <autoFilter ref="E2:F22" xr:uid="{8D6FB34C-35C0-4FC3-921F-CF3EEE07533A}"/>
  <tableColumns count="2">
    <tableColumn id="1" xr3:uid="{A3AA81F9-827E-43C0-A323-88B815E17AA5}" name="kategorija"/>
    <tableColumn id="2" xr3:uid="{7BF0ADBA-A089-41B3-A182-00BCD460527C}" name="vrednos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.be/TjSnQ4VDH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E30"/>
  <sheetViews>
    <sheetView workbookViewId="0">
      <selection activeCell="C13" sqref="C13"/>
    </sheetView>
  </sheetViews>
  <sheetFormatPr defaultRowHeight="14.45"/>
  <cols>
    <col min="1" max="1" width="30.7109375" style="1" customWidth="1"/>
    <col min="2" max="2" width="40.7109375" customWidth="1"/>
    <col min="3" max="4" width="30.7109375" customWidth="1"/>
    <col min="5" max="5" width="130.7109375" customWidth="1"/>
  </cols>
  <sheetData>
    <row r="1" spans="1:5" ht="60" customHeight="1">
      <c r="A1" s="8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60" customHeight="1">
      <c r="A2" s="9" t="s">
        <v>5</v>
      </c>
      <c r="B2" s="5"/>
      <c r="C2" s="6" t="s">
        <v>6</v>
      </c>
      <c r="D2" s="6" t="s">
        <v>7</v>
      </c>
      <c r="E2" s="7"/>
    </row>
    <row r="3" spans="1:5" ht="60" customHeight="1">
      <c r="A3" s="9" t="s">
        <v>8</v>
      </c>
      <c r="B3" s="5"/>
      <c r="C3" s="6" t="s">
        <v>9</v>
      </c>
      <c r="D3" s="6" t="s">
        <v>10</v>
      </c>
      <c r="E3" s="7"/>
    </row>
    <row r="4" spans="1:5" ht="60" customHeight="1">
      <c r="A4" s="9" t="s">
        <v>11</v>
      </c>
      <c r="B4" s="7"/>
      <c r="C4" s="6" t="s">
        <v>12</v>
      </c>
      <c r="D4" s="6" t="s">
        <v>13</v>
      </c>
      <c r="E4" s="7"/>
    </row>
    <row r="5" spans="1:5" ht="60" customHeight="1">
      <c r="A5" s="9" t="s">
        <v>14</v>
      </c>
      <c r="B5" s="7" t="s">
        <v>15</v>
      </c>
      <c r="C5" s="6" t="s">
        <v>16</v>
      </c>
      <c r="D5" s="6" t="s">
        <v>17</v>
      </c>
      <c r="E5" s="7"/>
    </row>
    <row r="6" spans="1:5" ht="60" customHeight="1">
      <c r="A6" s="9" t="s">
        <v>18</v>
      </c>
      <c r="B6" s="5"/>
      <c r="C6" s="7" t="s">
        <v>19</v>
      </c>
      <c r="D6" s="7" t="s">
        <v>20</v>
      </c>
      <c r="E6" s="7"/>
    </row>
    <row r="7" spans="1:5" ht="60" customHeight="1">
      <c r="A7" s="9" t="s">
        <v>21</v>
      </c>
      <c r="B7" s="5"/>
      <c r="C7" s="6" t="s">
        <v>22</v>
      </c>
      <c r="D7" s="6" t="s">
        <v>23</v>
      </c>
      <c r="E7" s="7"/>
    </row>
    <row r="8" spans="1:5" ht="60" customHeight="1">
      <c r="A8" s="9" t="s">
        <v>24</v>
      </c>
      <c r="B8" s="5"/>
      <c r="C8" s="6" t="s">
        <v>25</v>
      </c>
      <c r="D8" s="6" t="s">
        <v>26</v>
      </c>
      <c r="E8" s="7"/>
    </row>
    <row r="9" spans="1:5" ht="60" customHeight="1">
      <c r="A9" s="9" t="s">
        <v>27</v>
      </c>
      <c r="B9" s="5"/>
      <c r="C9" s="6" t="s">
        <v>28</v>
      </c>
      <c r="D9" s="6" t="s">
        <v>29</v>
      </c>
      <c r="E9" s="7"/>
    </row>
    <row r="10" spans="1:5" ht="60" customHeight="1">
      <c r="A10" s="9" t="s">
        <v>30</v>
      </c>
      <c r="B10" s="5"/>
      <c r="C10" s="6" t="s">
        <v>31</v>
      </c>
      <c r="D10" s="6" t="s">
        <v>32</v>
      </c>
      <c r="E10" s="7" t="s">
        <v>33</v>
      </c>
    </row>
    <row r="11" spans="1:5" ht="60" customHeight="1">
      <c r="A11" s="2"/>
      <c r="C11" s="2"/>
      <c r="D11" s="2"/>
      <c r="E11" s="3"/>
    </row>
    <row r="12" spans="1:5" ht="60" customHeight="1">
      <c r="A12" s="15" t="s">
        <v>34</v>
      </c>
      <c r="B12" s="16" t="s">
        <v>35</v>
      </c>
      <c r="C12" s="2"/>
      <c r="D12" s="2"/>
      <c r="E12" s="3"/>
    </row>
    <row r="13" spans="1:5" ht="60" customHeight="1">
      <c r="A13" s="2"/>
      <c r="C13" s="2"/>
      <c r="D13" s="2"/>
      <c r="E13" s="3"/>
    </row>
    <row r="14" spans="1:5" ht="60" customHeight="1">
      <c r="A14" s="2"/>
      <c r="C14" s="2"/>
      <c r="D14" s="2"/>
      <c r="E14" s="3"/>
    </row>
    <row r="15" spans="1:5" ht="60" customHeight="1">
      <c r="A15" s="2"/>
      <c r="C15" s="2"/>
      <c r="D15" s="2"/>
      <c r="E15" s="3"/>
    </row>
    <row r="16" spans="1:5" ht="60" customHeight="1">
      <c r="A16" s="2"/>
      <c r="C16" s="2"/>
      <c r="D16" s="2"/>
      <c r="E16" s="3"/>
    </row>
    <row r="17" spans="1:5" ht="60" customHeight="1">
      <c r="A17" s="2"/>
      <c r="C17" s="2"/>
      <c r="D17" s="2"/>
      <c r="E17" s="3"/>
    </row>
    <row r="18" spans="1:5" ht="60" customHeight="1">
      <c r="A18" s="2"/>
      <c r="C18" s="2"/>
      <c r="D18" s="2"/>
      <c r="E18" s="3"/>
    </row>
    <row r="19" spans="1:5" ht="60" customHeight="1">
      <c r="A19" s="2"/>
      <c r="C19" s="2"/>
      <c r="D19" s="2"/>
      <c r="E19" s="3"/>
    </row>
    <row r="20" spans="1:5" ht="60" customHeight="1">
      <c r="A20" s="2"/>
      <c r="C20" s="2"/>
      <c r="D20" s="2"/>
      <c r="E20" s="3"/>
    </row>
    <row r="21" spans="1:5" ht="60" customHeight="1">
      <c r="E21" s="3"/>
    </row>
    <row r="22" spans="1:5" ht="60" customHeight="1"/>
    <row r="23" spans="1:5" ht="60" customHeight="1"/>
    <row r="24" spans="1:5" ht="60" customHeight="1"/>
    <row r="25" spans="1:5" ht="60" customHeight="1"/>
    <row r="26" spans="1:5" ht="60" customHeight="1"/>
    <row r="27" spans="1:5" ht="60" customHeight="1"/>
    <row r="28" spans="1:5" ht="60" customHeight="1"/>
    <row r="29" spans="1:5" ht="60" customHeight="1"/>
    <row r="30" spans="1:5" ht="60" customHeight="1"/>
  </sheetData>
  <hyperlinks>
    <hyperlink ref="B12" r:id="rId1" xr:uid="{154C9838-BBC9-4DB4-BC12-30E61F3ED26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2911-CA8B-4333-AC8E-6237E93D9DA8}">
  <sheetPr>
    <tabColor rgb="FF00B050"/>
  </sheetPr>
  <dimension ref="A1:S57"/>
  <sheetViews>
    <sheetView topLeftCell="A21" workbookViewId="0">
      <selection activeCell="H49" sqref="H49:N50"/>
    </sheetView>
  </sheetViews>
  <sheetFormatPr defaultRowHeight="15"/>
  <cols>
    <col min="1" max="1" width="13.28515625" customWidth="1"/>
    <col min="2" max="2" width="18.85546875" customWidth="1"/>
    <col min="5" max="5" width="35" customWidth="1"/>
  </cols>
  <sheetData>
    <row r="1" spans="1:19" ht="14.45">
      <c r="A1" s="11" t="s">
        <v>36</v>
      </c>
    </row>
    <row r="3" spans="1:19" ht="14.45">
      <c r="A3" t="s">
        <v>37</v>
      </c>
      <c r="C3" t="s">
        <v>38</v>
      </c>
    </row>
    <row r="4" spans="1:19" ht="14.45">
      <c r="A4" t="s">
        <v>39</v>
      </c>
      <c r="C4" t="s">
        <v>38</v>
      </c>
    </row>
    <row r="6" spans="1:19">
      <c r="A6" s="18" t="s">
        <v>40</v>
      </c>
      <c r="B6" s="18" t="s">
        <v>41</v>
      </c>
      <c r="E6" s="10" t="s">
        <v>42</v>
      </c>
      <c r="Q6" s="10"/>
      <c r="R6" s="10"/>
    </row>
    <row r="7" spans="1:19">
      <c r="A7" s="17">
        <v>1</v>
      </c>
      <c r="B7" s="17">
        <v>1</v>
      </c>
      <c r="E7" s="12" t="s">
        <v>43</v>
      </c>
      <c r="F7" s="19">
        <f>AVERAGE(B7:B19)</f>
        <v>38.07692307692308</v>
      </c>
      <c r="G7" s="19" t="s">
        <v>44</v>
      </c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9">
      <c r="A8" s="17">
        <v>2</v>
      </c>
      <c r="B8" s="17">
        <v>10</v>
      </c>
      <c r="E8" s="12" t="s">
        <v>45</v>
      </c>
      <c r="F8" s="19">
        <v>17</v>
      </c>
      <c r="G8" s="19" t="s">
        <v>46</v>
      </c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9">
      <c r="A9" s="17">
        <v>3</v>
      </c>
      <c r="B9" s="17">
        <v>17</v>
      </c>
      <c r="E9" s="12" t="s">
        <v>47</v>
      </c>
      <c r="F9" s="19">
        <v>23</v>
      </c>
      <c r="G9" s="19" t="s">
        <v>48</v>
      </c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9">
      <c r="A10" s="17">
        <v>4</v>
      </c>
      <c r="B10" s="17">
        <v>17</v>
      </c>
      <c r="E10" s="12" t="s">
        <v>49</v>
      </c>
      <c r="F10" s="19">
        <f>_xlfn.VAR.P(B7:B19)</f>
        <v>2354.6863905325445</v>
      </c>
      <c r="G10" s="19" t="s">
        <v>50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9">
      <c r="A11" s="17">
        <v>5</v>
      </c>
      <c r="B11" s="17">
        <v>17</v>
      </c>
      <c r="E11" s="12" t="s">
        <v>51</v>
      </c>
      <c r="F11" s="19">
        <f>_xlfn.STDEV.P(B7:B19)</f>
        <v>48.525110927565578</v>
      </c>
      <c r="G11" s="19" t="s">
        <v>52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9">
      <c r="A12" s="17">
        <v>6</v>
      </c>
      <c r="B12" s="17">
        <v>22</v>
      </c>
    </row>
    <row r="13" spans="1:19">
      <c r="A13" s="17">
        <v>7</v>
      </c>
      <c r="B13" s="17">
        <v>23</v>
      </c>
      <c r="E13" s="12" t="s">
        <v>53</v>
      </c>
      <c r="L13" s="10"/>
    </row>
    <row r="14" spans="1:19">
      <c r="A14" s="17">
        <v>8</v>
      </c>
      <c r="B14" s="17">
        <v>23</v>
      </c>
      <c r="E14" s="12" t="s">
        <v>54</v>
      </c>
      <c r="F14" s="19" t="s">
        <v>55</v>
      </c>
      <c r="R14" s="24">
        <v>1</v>
      </c>
      <c r="S14" s="1" t="b">
        <f>IF(R14 &gt; 183.6522531, TRUE, FALSE)</f>
        <v>0</v>
      </c>
    </row>
    <row r="15" spans="1:19">
      <c r="A15" s="17">
        <v>9</v>
      </c>
      <c r="B15" s="17">
        <v>32</v>
      </c>
      <c r="E15" s="12"/>
      <c r="R15" s="25">
        <v>10</v>
      </c>
      <c r="S15" s="1" t="b">
        <f t="shared" ref="S15:S26" si="0">IF(R15 &gt; 183.6522531, TRUE, FALSE)</f>
        <v>0</v>
      </c>
    </row>
    <row r="16" spans="1:19">
      <c r="A16" s="17">
        <v>10</v>
      </c>
      <c r="B16" s="17">
        <v>40</v>
      </c>
      <c r="E16" s="12" t="s">
        <v>56</v>
      </c>
      <c r="R16" s="21">
        <v>17</v>
      </c>
      <c r="S16" s="1" t="b">
        <f t="shared" si="0"/>
        <v>0</v>
      </c>
    </row>
    <row r="17" spans="1:19">
      <c r="A17" s="17">
        <v>11</v>
      </c>
      <c r="B17" s="17">
        <v>46</v>
      </c>
      <c r="E17" s="12" t="s">
        <v>57</v>
      </c>
      <c r="R17" s="22">
        <v>17</v>
      </c>
      <c r="S17" s="1" t="b">
        <f t="shared" si="0"/>
        <v>0</v>
      </c>
    </row>
    <row r="18" spans="1:19">
      <c r="A18" s="17">
        <v>12</v>
      </c>
      <c r="B18" s="17">
        <v>47</v>
      </c>
      <c r="E18" t="s">
        <v>58</v>
      </c>
      <c r="R18" s="21">
        <v>17</v>
      </c>
      <c r="S18" s="1" t="b">
        <f t="shared" si="0"/>
        <v>0</v>
      </c>
    </row>
    <row r="19" spans="1:19">
      <c r="A19" s="17">
        <v>13</v>
      </c>
      <c r="B19" s="17">
        <v>200</v>
      </c>
      <c r="E19" s="12"/>
      <c r="R19" s="22">
        <v>22</v>
      </c>
      <c r="S19" s="1" t="b">
        <f t="shared" si="0"/>
        <v>0</v>
      </c>
    </row>
    <row r="20" spans="1:19">
      <c r="E20" s="20">
        <f xml:space="preserve"> PRODUCT(3,48.52511)</f>
        <v>145.57533000000001</v>
      </c>
      <c r="F20" s="19"/>
      <c r="G20" s="19"/>
      <c r="H20" s="19"/>
      <c r="R20" s="21">
        <v>23</v>
      </c>
      <c r="S20" s="1" t="b">
        <f t="shared" si="0"/>
        <v>0</v>
      </c>
    </row>
    <row r="21" spans="1:19">
      <c r="E21" s="19">
        <f>SUM(E20, F7)</f>
        <v>183.6522530769231</v>
      </c>
      <c r="F21" s="19" t="s">
        <v>59</v>
      </c>
      <c r="G21" s="19"/>
      <c r="H21" s="19"/>
      <c r="R21" s="22">
        <v>23</v>
      </c>
      <c r="S21" s="1" t="b">
        <f t="shared" si="0"/>
        <v>0</v>
      </c>
    </row>
    <row r="22" spans="1:19">
      <c r="R22" s="21">
        <v>32</v>
      </c>
      <c r="S22" s="1" t="b">
        <f t="shared" si="0"/>
        <v>0</v>
      </c>
    </row>
    <row r="23" spans="1:19">
      <c r="E23" s="26" t="s">
        <v>60</v>
      </c>
      <c r="H23" s="26" t="s">
        <v>61</v>
      </c>
      <c r="O23">
        <f>F7 - (3 *F11)</f>
        <v>-107.49840970577365</v>
      </c>
      <c r="R23" s="22">
        <v>40</v>
      </c>
      <c r="S23" s="1" t="b">
        <f t="shared" si="0"/>
        <v>0</v>
      </c>
    </row>
    <row r="24" spans="1:19">
      <c r="E24" s="26" t="s">
        <v>62</v>
      </c>
      <c r="H24" s="26" t="s">
        <v>63</v>
      </c>
      <c r="O24">
        <f>F7+(3*F11)</f>
        <v>183.6522558596198</v>
      </c>
      <c r="R24" s="21">
        <v>46</v>
      </c>
      <c r="S24" s="1" t="b">
        <f t="shared" si="0"/>
        <v>0</v>
      </c>
    </row>
    <row r="25" spans="1:19">
      <c r="R25" s="22">
        <v>47</v>
      </c>
      <c r="S25" s="1" t="b">
        <f t="shared" si="0"/>
        <v>0</v>
      </c>
    </row>
    <row r="26" spans="1:19">
      <c r="R26" s="23">
        <v>200</v>
      </c>
      <c r="S26" s="1" t="b">
        <f t="shared" si="0"/>
        <v>1</v>
      </c>
    </row>
    <row r="28" spans="1:1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30" spans="1:19">
      <c r="A30" s="11" t="s">
        <v>64</v>
      </c>
    </row>
    <row r="32" spans="1:19">
      <c r="A32" t="s">
        <v>65</v>
      </c>
      <c r="F32" t="s">
        <v>66</v>
      </c>
      <c r="Q32" s="21">
        <v>87</v>
      </c>
      <c r="R32" t="b">
        <f>IF(Q32&gt;$O$50,TRUE,FALSE)</f>
        <v>0</v>
      </c>
    </row>
    <row r="33" spans="1:18">
      <c r="A33" t="s">
        <v>67</v>
      </c>
      <c r="F33" t="s">
        <v>66</v>
      </c>
      <c r="Q33" s="22">
        <v>103</v>
      </c>
      <c r="R33" t="b">
        <f t="shared" ref="R33:R51" si="1">IF(Q33&gt;$O$50,TRUE,FALSE)</f>
        <v>0</v>
      </c>
    </row>
    <row r="34" spans="1:18">
      <c r="Q34" s="21">
        <v>130</v>
      </c>
      <c r="R34" t="b">
        <f t="shared" si="1"/>
        <v>0</v>
      </c>
    </row>
    <row r="35" spans="1:18">
      <c r="A35" s="10" t="s">
        <v>68</v>
      </c>
      <c r="B35" s="10" t="s">
        <v>41</v>
      </c>
      <c r="E35" s="10" t="s">
        <v>69</v>
      </c>
      <c r="Q35" s="22">
        <v>160</v>
      </c>
      <c r="R35" t="b">
        <f t="shared" si="1"/>
        <v>0</v>
      </c>
    </row>
    <row r="36" spans="1:18">
      <c r="A36">
        <v>2007</v>
      </c>
      <c r="B36">
        <v>87</v>
      </c>
      <c r="E36" s="12" t="s">
        <v>43</v>
      </c>
      <c r="F36">
        <f>SUM(Table2[Value | Vrednost])/20</f>
        <v>135.4</v>
      </c>
      <c r="K36" t="s">
        <v>70</v>
      </c>
      <c r="Q36" s="21">
        <v>180</v>
      </c>
      <c r="R36" t="b">
        <f t="shared" si="1"/>
        <v>0</v>
      </c>
    </row>
    <row r="37" spans="1:18">
      <c r="A37">
        <v>2008</v>
      </c>
      <c r="B37">
        <v>103</v>
      </c>
      <c r="E37" s="12" t="s">
        <v>45</v>
      </c>
      <c r="F37">
        <f>_xlfn.MODE.SNGL(Table2[Value | Vrednost])</f>
        <v>145</v>
      </c>
      <c r="K37" t="s">
        <v>71</v>
      </c>
      <c r="Q37" s="22">
        <v>195</v>
      </c>
      <c r="R37" t="b">
        <f t="shared" si="1"/>
        <v>0</v>
      </c>
    </row>
    <row r="38" spans="1:18">
      <c r="A38">
        <v>2009</v>
      </c>
      <c r="B38">
        <v>130</v>
      </c>
      <c r="E38" s="12" t="s">
        <v>47</v>
      </c>
      <c r="F38">
        <f>MEDIAN(Table2[Value | Vrednost])</f>
        <v>135</v>
      </c>
      <c r="K38" t="s">
        <v>72</v>
      </c>
      <c r="Q38" s="21">
        <v>132</v>
      </c>
      <c r="R38" t="b">
        <f t="shared" si="1"/>
        <v>0</v>
      </c>
    </row>
    <row r="39" spans="1:18">
      <c r="A39">
        <v>2010</v>
      </c>
      <c r="B39">
        <v>160</v>
      </c>
      <c r="E39" s="12" t="s">
        <v>49</v>
      </c>
      <c r="F39">
        <f>_xlfn.VAR.P(Table2[Value | Vrednost])</f>
        <v>1143.1400000000001</v>
      </c>
      <c r="K39" t="s">
        <v>73</v>
      </c>
      <c r="Q39" s="22">
        <v>145</v>
      </c>
      <c r="R39" t="b">
        <f t="shared" si="1"/>
        <v>0</v>
      </c>
    </row>
    <row r="40" spans="1:18">
      <c r="A40">
        <v>2011</v>
      </c>
      <c r="B40">
        <v>180</v>
      </c>
      <c r="E40" s="12" t="s">
        <v>51</v>
      </c>
      <c r="F40">
        <f>_xlfn.STDEV.P(Table2[Value | Vrednost])</f>
        <v>33.810353443878697</v>
      </c>
      <c r="K40" t="s">
        <v>74</v>
      </c>
      <c r="Q40" s="21">
        <v>211</v>
      </c>
      <c r="R40" t="b">
        <f t="shared" si="1"/>
        <v>1</v>
      </c>
    </row>
    <row r="41" spans="1:18">
      <c r="A41">
        <v>2012</v>
      </c>
      <c r="B41">
        <v>195</v>
      </c>
      <c r="Q41" s="22">
        <v>105</v>
      </c>
      <c r="R41" t="b">
        <f t="shared" si="1"/>
        <v>0</v>
      </c>
    </row>
    <row r="42" spans="1:18">
      <c r="A42">
        <v>2013</v>
      </c>
      <c r="B42">
        <v>132</v>
      </c>
      <c r="E42" s="12" t="s">
        <v>53</v>
      </c>
      <c r="F42">
        <v>211</v>
      </c>
      <c r="Q42" s="21">
        <v>145</v>
      </c>
      <c r="R42" t="b">
        <f t="shared" si="1"/>
        <v>0</v>
      </c>
    </row>
    <row r="43" spans="1:18">
      <c r="A43">
        <v>2014</v>
      </c>
      <c r="B43">
        <v>145</v>
      </c>
      <c r="E43" s="12" t="s">
        <v>54</v>
      </c>
      <c r="Q43" s="22">
        <v>153</v>
      </c>
      <c r="R43" t="b">
        <f t="shared" si="1"/>
        <v>0</v>
      </c>
    </row>
    <row r="44" spans="1:18">
      <c r="A44">
        <v>2015</v>
      </c>
      <c r="B44">
        <v>211</v>
      </c>
      <c r="Q44" s="21">
        <v>152</v>
      </c>
      <c r="R44" t="b">
        <f t="shared" si="1"/>
        <v>0</v>
      </c>
    </row>
    <row r="45" spans="1:18">
      <c r="A45">
        <v>2016</v>
      </c>
      <c r="B45">
        <v>105</v>
      </c>
      <c r="E45" s="12" t="s">
        <v>75</v>
      </c>
      <c r="Q45" s="22">
        <v>138</v>
      </c>
      <c r="R45" t="b">
        <f t="shared" si="1"/>
        <v>0</v>
      </c>
    </row>
    <row r="46" spans="1:18">
      <c r="A46">
        <v>2017</v>
      </c>
      <c r="B46">
        <v>145</v>
      </c>
      <c r="E46" s="12" t="s">
        <v>76</v>
      </c>
      <c r="Q46" s="21">
        <v>87</v>
      </c>
      <c r="R46" t="b">
        <f t="shared" si="1"/>
        <v>0</v>
      </c>
    </row>
    <row r="47" spans="1:18">
      <c r="A47">
        <v>2018</v>
      </c>
      <c r="B47">
        <v>153</v>
      </c>
      <c r="Q47" s="22">
        <v>99</v>
      </c>
      <c r="R47" t="b">
        <f t="shared" si="1"/>
        <v>0</v>
      </c>
    </row>
    <row r="48" spans="1:18">
      <c r="A48">
        <v>2019</v>
      </c>
      <c r="B48">
        <v>152</v>
      </c>
      <c r="Q48" s="21">
        <v>93</v>
      </c>
      <c r="R48" t="b">
        <f t="shared" si="1"/>
        <v>0</v>
      </c>
    </row>
    <row r="49" spans="1:18">
      <c r="A49">
        <v>2020</v>
      </c>
      <c r="B49">
        <v>138</v>
      </c>
      <c r="E49" s="26" t="s">
        <v>60</v>
      </c>
      <c r="H49" s="26" t="s">
        <v>77</v>
      </c>
      <c r="O49">
        <f>F36-(2*F40)</f>
        <v>67.779293112242613</v>
      </c>
      <c r="Q49" s="22">
        <v>119</v>
      </c>
      <c r="R49" t="b">
        <f t="shared" si="1"/>
        <v>0</v>
      </c>
    </row>
    <row r="50" spans="1:18">
      <c r="A50">
        <v>2021</v>
      </c>
      <c r="B50">
        <v>87</v>
      </c>
      <c r="E50" s="26" t="s">
        <v>62</v>
      </c>
      <c r="H50" s="26" t="s">
        <v>78</v>
      </c>
      <c r="O50">
        <f>F36+(2*F40)</f>
        <v>203.0207068877574</v>
      </c>
      <c r="Q50" s="21">
        <v>129</v>
      </c>
      <c r="R50" t="b">
        <f t="shared" si="1"/>
        <v>0</v>
      </c>
    </row>
    <row r="51" spans="1:18">
      <c r="A51">
        <v>2022</v>
      </c>
      <c r="B51">
        <v>99</v>
      </c>
      <c r="Q51" s="22">
        <v>145</v>
      </c>
      <c r="R51" t="b">
        <f t="shared" si="1"/>
        <v>0</v>
      </c>
    </row>
    <row r="52" spans="1:18">
      <c r="A52">
        <v>2023</v>
      </c>
      <c r="B52">
        <v>93</v>
      </c>
    </row>
    <row r="53" spans="1:18">
      <c r="A53">
        <v>2024</v>
      </c>
      <c r="B53">
        <v>119</v>
      </c>
      <c r="E53" s="10" t="s">
        <v>79</v>
      </c>
      <c r="F53">
        <v>211</v>
      </c>
      <c r="H53" s="10" t="s">
        <v>80</v>
      </c>
      <c r="I53">
        <v>2015</v>
      </c>
    </row>
    <row r="54" spans="1:18">
      <c r="A54">
        <v>2025</v>
      </c>
      <c r="B54">
        <v>129</v>
      </c>
      <c r="E54" s="10" t="s">
        <v>81</v>
      </c>
      <c r="H54" s="10" t="s">
        <v>82</v>
      </c>
    </row>
    <row r="55" spans="1:18">
      <c r="A55">
        <v>2026</v>
      </c>
      <c r="B55">
        <v>145</v>
      </c>
      <c r="H55" s="10"/>
    </row>
    <row r="56" spans="1:18">
      <c r="E56" s="10" t="s">
        <v>83</v>
      </c>
      <c r="F56">
        <v>87</v>
      </c>
      <c r="H56" s="10" t="s">
        <v>80</v>
      </c>
      <c r="I56">
        <v>2007</v>
      </c>
    </row>
    <row r="57" spans="1:18">
      <c r="E57" s="10" t="s">
        <v>84</v>
      </c>
      <c r="H57" s="10" t="s">
        <v>82</v>
      </c>
    </row>
  </sheetData>
  <sortState xmlns:xlrd2="http://schemas.microsoft.com/office/spreadsheetml/2017/richdata2" ref="B7:B19">
    <sortCondition ref="B7:B19"/>
  </sortState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E935-A60B-4C83-847C-066F9A5F76BB}">
  <sheetPr>
    <tabColor rgb="FF00B050"/>
  </sheetPr>
  <dimension ref="A1:AJ62"/>
  <sheetViews>
    <sheetView topLeftCell="A16" workbookViewId="0">
      <selection activeCell="AB63" sqref="AB63"/>
    </sheetView>
  </sheetViews>
  <sheetFormatPr defaultRowHeight="14.45"/>
  <cols>
    <col min="1" max="1" width="23.7109375" customWidth="1"/>
    <col min="2" max="2" width="15.42578125" customWidth="1"/>
    <col min="5" max="5" width="35" customWidth="1"/>
    <col min="17" max="17" width="15.42578125" bestFit="1" customWidth="1"/>
    <col min="18" max="18" width="16.7109375" bestFit="1" customWidth="1"/>
    <col min="21" max="21" width="10.28515625" bestFit="1" customWidth="1"/>
    <col min="22" max="22" width="15.42578125" bestFit="1" customWidth="1"/>
    <col min="23" max="23" width="26.140625" bestFit="1" customWidth="1"/>
    <col min="24" max="24" width="25.7109375" bestFit="1" customWidth="1"/>
  </cols>
  <sheetData>
    <row r="1" spans="1:18">
      <c r="A1" s="11" t="s">
        <v>36</v>
      </c>
    </row>
    <row r="3" spans="1:18">
      <c r="A3" t="s">
        <v>37</v>
      </c>
      <c r="C3" t="s">
        <v>38</v>
      </c>
    </row>
    <row r="4" spans="1:18">
      <c r="A4" t="s">
        <v>39</v>
      </c>
      <c r="C4" t="s">
        <v>38</v>
      </c>
    </row>
    <row r="6" spans="1:18">
      <c r="A6" s="10" t="s">
        <v>40</v>
      </c>
      <c r="B6" s="10" t="s">
        <v>41</v>
      </c>
      <c r="E6" s="10" t="s">
        <v>42</v>
      </c>
      <c r="Q6" s="10" t="s">
        <v>41</v>
      </c>
      <c r="R6" s="10" t="s">
        <v>85</v>
      </c>
    </row>
    <row r="7" spans="1:18">
      <c r="A7">
        <v>1</v>
      </c>
      <c r="B7">
        <v>17</v>
      </c>
      <c r="E7" s="12" t="s">
        <v>43</v>
      </c>
      <c r="F7">
        <f>AVERAGE(B7:B19)</f>
        <v>38.07692307692308</v>
      </c>
      <c r="Q7">
        <v>17</v>
      </c>
      <c r="R7" t="b">
        <f>OR(Q7&lt;$O$19, Q7&gt;$O$20)</f>
        <v>0</v>
      </c>
    </row>
    <row r="8" spans="1:18">
      <c r="A8">
        <v>2</v>
      </c>
      <c r="B8">
        <v>22</v>
      </c>
      <c r="E8" s="12" t="s">
        <v>45</v>
      </c>
      <c r="F8">
        <f>_xlfn.MODE.SNGL(B7:B19)</f>
        <v>17</v>
      </c>
      <c r="Q8">
        <v>22</v>
      </c>
      <c r="R8" t="b">
        <f t="shared" ref="R8:R19" si="0">OR(Q8&lt;$O$19, Q8&gt;$O$20)</f>
        <v>0</v>
      </c>
    </row>
    <row r="9" spans="1:18">
      <c r="A9">
        <v>3</v>
      </c>
      <c r="B9">
        <v>47</v>
      </c>
      <c r="E9" s="12" t="s">
        <v>47</v>
      </c>
      <c r="F9">
        <f>MEDIAN(B7:B19)</f>
        <v>23</v>
      </c>
      <c r="Q9">
        <v>47</v>
      </c>
      <c r="R9" t="b">
        <f t="shared" si="0"/>
        <v>0</v>
      </c>
    </row>
    <row r="10" spans="1:18">
      <c r="A10">
        <v>4</v>
      </c>
      <c r="B10">
        <v>23</v>
      </c>
      <c r="E10" s="12" t="s">
        <v>49</v>
      </c>
      <c r="F10">
        <f>_xlfn.VAR.P(B7:B19)</f>
        <v>2354.6863905325445</v>
      </c>
      <c r="Q10">
        <v>23</v>
      </c>
      <c r="R10" t="b">
        <f t="shared" si="0"/>
        <v>0</v>
      </c>
    </row>
    <row r="11" spans="1:18">
      <c r="A11">
        <v>5</v>
      </c>
      <c r="B11">
        <v>17</v>
      </c>
      <c r="E11" s="12" t="s">
        <v>51</v>
      </c>
      <c r="F11">
        <f>_xlfn.STDEV.P(B7:B19)</f>
        <v>48.525110927565578</v>
      </c>
      <c r="Q11">
        <v>17</v>
      </c>
      <c r="R11" t="b">
        <f t="shared" si="0"/>
        <v>0</v>
      </c>
    </row>
    <row r="12" spans="1:18">
      <c r="A12">
        <v>6</v>
      </c>
      <c r="B12">
        <v>46</v>
      </c>
      <c r="Q12">
        <v>46</v>
      </c>
      <c r="R12" t="b">
        <f t="shared" si="0"/>
        <v>0</v>
      </c>
    </row>
    <row r="13" spans="1:18">
      <c r="A13">
        <v>7</v>
      </c>
      <c r="B13">
        <v>32</v>
      </c>
      <c r="E13" s="12" t="s">
        <v>53</v>
      </c>
      <c r="H13" t="s">
        <v>86</v>
      </c>
      <c r="L13" s="10"/>
      <c r="Q13">
        <v>32</v>
      </c>
      <c r="R13" t="b">
        <f t="shared" si="0"/>
        <v>0</v>
      </c>
    </row>
    <row r="14" spans="1:18">
      <c r="A14">
        <v>8</v>
      </c>
      <c r="B14">
        <v>23</v>
      </c>
      <c r="E14" s="12" t="s">
        <v>54</v>
      </c>
      <c r="H14" t="s">
        <v>87</v>
      </c>
      <c r="Q14">
        <v>23</v>
      </c>
      <c r="R14" t="b">
        <f t="shared" si="0"/>
        <v>0</v>
      </c>
    </row>
    <row r="15" spans="1:18">
      <c r="A15">
        <v>9</v>
      </c>
      <c r="B15">
        <v>17</v>
      </c>
      <c r="E15" s="12"/>
      <c r="Q15">
        <v>17</v>
      </c>
      <c r="R15" t="b">
        <f t="shared" si="0"/>
        <v>0</v>
      </c>
    </row>
    <row r="16" spans="1:18">
      <c r="A16">
        <v>10</v>
      </c>
      <c r="B16">
        <v>40</v>
      </c>
      <c r="E16" s="12" t="s">
        <v>56</v>
      </c>
      <c r="Q16">
        <v>40</v>
      </c>
      <c r="R16" t="b">
        <f t="shared" si="0"/>
        <v>0</v>
      </c>
    </row>
    <row r="17" spans="1:36">
      <c r="A17">
        <v>11</v>
      </c>
      <c r="B17">
        <v>200</v>
      </c>
      <c r="E17" s="12" t="s">
        <v>57</v>
      </c>
      <c r="Q17">
        <v>200</v>
      </c>
      <c r="R17" t="b">
        <f t="shared" si="0"/>
        <v>1</v>
      </c>
    </row>
    <row r="18" spans="1:36">
      <c r="A18">
        <v>12</v>
      </c>
      <c r="B18">
        <v>1</v>
      </c>
      <c r="Q18">
        <v>1</v>
      </c>
      <c r="R18" t="b">
        <f t="shared" si="0"/>
        <v>0</v>
      </c>
    </row>
    <row r="19" spans="1:36">
      <c r="A19">
        <v>13</v>
      </c>
      <c r="B19">
        <v>10</v>
      </c>
      <c r="E19" s="12" t="s">
        <v>60</v>
      </c>
      <c r="H19" t="s">
        <v>61</v>
      </c>
      <c r="O19">
        <f>F7-(3*F11)</f>
        <v>-107.49840970577365</v>
      </c>
      <c r="Q19">
        <v>10</v>
      </c>
      <c r="R19" t="b">
        <f t="shared" si="0"/>
        <v>0</v>
      </c>
    </row>
    <row r="20" spans="1:36">
      <c r="E20" s="12" t="s">
        <v>62</v>
      </c>
      <c r="H20" t="s">
        <v>63</v>
      </c>
      <c r="O20">
        <f>F7+(3*F11)</f>
        <v>183.6522558596198</v>
      </c>
    </row>
    <row r="28" spans="1:3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30" spans="1:36">
      <c r="A30" s="11" t="s">
        <v>64</v>
      </c>
    </row>
    <row r="32" spans="1:36">
      <c r="A32" t="s">
        <v>65</v>
      </c>
      <c r="F32" t="s">
        <v>66</v>
      </c>
    </row>
    <row r="33" spans="1:33">
      <c r="A33" t="s">
        <v>67</v>
      </c>
      <c r="F33" t="s">
        <v>66</v>
      </c>
    </row>
    <row r="35" spans="1:33">
      <c r="A35" s="10" t="s">
        <v>68</v>
      </c>
      <c r="B35" s="10" t="s">
        <v>41</v>
      </c>
      <c r="E35" s="10" t="s">
        <v>69</v>
      </c>
      <c r="Q35" s="10" t="s">
        <v>41</v>
      </c>
      <c r="R35" s="10" t="s">
        <v>85</v>
      </c>
      <c r="U35" s="10" t="s">
        <v>68</v>
      </c>
      <c r="V35" s="10" t="s">
        <v>41</v>
      </c>
      <c r="W35" s="10" t="s">
        <v>88</v>
      </c>
      <c r="X35" s="10" t="s">
        <v>89</v>
      </c>
      <c r="Z35" s="10" t="s">
        <v>79</v>
      </c>
      <c r="AD35">
        <f>MAX(V36:V55)</f>
        <v>211</v>
      </c>
      <c r="AF35" s="10" t="s">
        <v>80</v>
      </c>
      <c r="AG35">
        <f>_xlfn.XLOOKUP(AD35,V36:V55,U36:U55)</f>
        <v>2015</v>
      </c>
    </row>
    <row r="36" spans="1:33">
      <c r="A36">
        <v>2007</v>
      </c>
      <c r="B36">
        <v>87</v>
      </c>
      <c r="E36" s="12" t="s">
        <v>43</v>
      </c>
      <c r="F36">
        <f>AVERAGE(B36:B55)</f>
        <v>135.4</v>
      </c>
      <c r="Q36">
        <v>87</v>
      </c>
      <c r="R36" t="b">
        <f>OR(Q36&lt;$O$48, Q36&gt;$O$49)</f>
        <v>0</v>
      </c>
      <c r="U36">
        <v>2007</v>
      </c>
      <c r="V36">
        <v>87</v>
      </c>
      <c r="W36">
        <f>$O$48</f>
        <v>67.779293112242613</v>
      </c>
      <c r="X36">
        <f>$O$49</f>
        <v>203.0207068877574</v>
      </c>
      <c r="Z36" s="10" t="s">
        <v>81</v>
      </c>
      <c r="AF36" s="10" t="s">
        <v>82</v>
      </c>
    </row>
    <row r="37" spans="1:33">
      <c r="A37">
        <v>2008</v>
      </c>
      <c r="B37">
        <v>103</v>
      </c>
      <c r="E37" s="12" t="s">
        <v>45</v>
      </c>
      <c r="F37">
        <f>_xlfn.MODE.SNGL(B36:B55)</f>
        <v>145</v>
      </c>
      <c r="Q37">
        <v>103</v>
      </c>
      <c r="R37" t="b">
        <f t="shared" ref="R37:R55" si="1">OR(Q37&lt;$O$48, Q37&gt;$O$49)</f>
        <v>0</v>
      </c>
      <c r="U37">
        <v>2008</v>
      </c>
      <c r="V37">
        <v>103</v>
      </c>
      <c r="W37">
        <f t="shared" ref="W37:W55" si="2">$O$48</f>
        <v>67.779293112242613</v>
      </c>
      <c r="X37">
        <f t="shared" ref="X37:X55" si="3">$O$49</f>
        <v>203.0207068877574</v>
      </c>
      <c r="AF37" s="10"/>
    </row>
    <row r="38" spans="1:33">
      <c r="A38">
        <v>2009</v>
      </c>
      <c r="B38">
        <v>130</v>
      </c>
      <c r="E38" s="12" t="s">
        <v>47</v>
      </c>
      <c r="F38">
        <f>MEDIAN(B36:B55)</f>
        <v>135</v>
      </c>
      <c r="Q38">
        <v>130</v>
      </c>
      <c r="R38" t="b">
        <f t="shared" si="1"/>
        <v>0</v>
      </c>
      <c r="U38">
        <v>2009</v>
      </c>
      <c r="V38">
        <v>130</v>
      </c>
      <c r="W38">
        <f t="shared" si="2"/>
        <v>67.779293112242613</v>
      </c>
      <c r="X38">
        <f t="shared" si="3"/>
        <v>203.0207068877574</v>
      </c>
      <c r="Z38" s="10" t="s">
        <v>83</v>
      </c>
      <c r="AD38">
        <f>MIN(V36:V55)</f>
        <v>87</v>
      </c>
      <c r="AF38" s="10" t="s">
        <v>80</v>
      </c>
      <c r="AG38">
        <f>_xlfn.XLOOKUP(AD38,V36:V55,U36:U55)</f>
        <v>2007</v>
      </c>
    </row>
    <row r="39" spans="1:33">
      <c r="A39">
        <v>2010</v>
      </c>
      <c r="B39">
        <v>160</v>
      </c>
      <c r="E39" s="12" t="s">
        <v>49</v>
      </c>
      <c r="F39">
        <f>_xlfn.VAR.P(B36:B55)</f>
        <v>1143.1400000000001</v>
      </c>
      <c r="Q39">
        <v>160</v>
      </c>
      <c r="R39" t="b">
        <f t="shared" si="1"/>
        <v>0</v>
      </c>
      <c r="U39">
        <v>2010</v>
      </c>
      <c r="V39">
        <v>160</v>
      </c>
      <c r="W39">
        <f t="shared" si="2"/>
        <v>67.779293112242613</v>
      </c>
      <c r="X39">
        <f t="shared" si="3"/>
        <v>203.0207068877574</v>
      </c>
      <c r="Z39" s="10" t="s">
        <v>84</v>
      </c>
      <c r="AF39" s="10" t="s">
        <v>82</v>
      </c>
    </row>
    <row r="40" spans="1:33">
      <c r="A40">
        <v>2011</v>
      </c>
      <c r="B40">
        <v>180</v>
      </c>
      <c r="E40" s="12" t="s">
        <v>51</v>
      </c>
      <c r="F40">
        <f>_xlfn.STDEV.P(B36:B55)</f>
        <v>33.810353443878697</v>
      </c>
      <c r="Q40">
        <v>180</v>
      </c>
      <c r="R40" t="b">
        <f t="shared" si="1"/>
        <v>0</v>
      </c>
      <c r="U40">
        <v>2011</v>
      </c>
      <c r="V40">
        <v>180</v>
      </c>
      <c r="W40">
        <f t="shared" si="2"/>
        <v>67.779293112242613</v>
      </c>
      <c r="X40">
        <f t="shared" si="3"/>
        <v>203.0207068877574</v>
      </c>
    </row>
    <row r="41" spans="1:33">
      <c r="A41">
        <v>2012</v>
      </c>
      <c r="B41">
        <v>195</v>
      </c>
      <c r="Q41">
        <v>195</v>
      </c>
      <c r="R41" t="b">
        <f t="shared" si="1"/>
        <v>0</v>
      </c>
      <c r="U41">
        <v>2012</v>
      </c>
      <c r="V41">
        <v>195</v>
      </c>
      <c r="W41">
        <f t="shared" si="2"/>
        <v>67.779293112242613</v>
      </c>
      <c r="X41">
        <f t="shared" si="3"/>
        <v>203.0207068877574</v>
      </c>
    </row>
    <row r="42" spans="1:33">
      <c r="A42">
        <v>2013</v>
      </c>
      <c r="B42">
        <v>132</v>
      </c>
      <c r="E42" s="12" t="s">
        <v>53</v>
      </c>
      <c r="G42" t="s">
        <v>90</v>
      </c>
      <c r="Q42">
        <v>132</v>
      </c>
      <c r="R42" t="b">
        <f t="shared" si="1"/>
        <v>0</v>
      </c>
      <c r="U42">
        <v>2013</v>
      </c>
      <c r="V42">
        <v>132</v>
      </c>
      <c r="W42">
        <f t="shared" si="2"/>
        <v>67.779293112242613</v>
      </c>
      <c r="X42">
        <f t="shared" si="3"/>
        <v>203.0207068877574</v>
      </c>
    </row>
    <row r="43" spans="1:33">
      <c r="A43">
        <v>2014</v>
      </c>
      <c r="B43">
        <v>145</v>
      </c>
      <c r="E43" s="12" t="s">
        <v>54</v>
      </c>
      <c r="G43" t="s">
        <v>91</v>
      </c>
      <c r="Q43">
        <v>145</v>
      </c>
      <c r="R43" t="b">
        <f t="shared" si="1"/>
        <v>0</v>
      </c>
      <c r="U43">
        <v>2014</v>
      </c>
      <c r="V43">
        <v>145</v>
      </c>
      <c r="W43">
        <f t="shared" si="2"/>
        <v>67.779293112242613</v>
      </c>
      <c r="X43">
        <f t="shared" si="3"/>
        <v>203.0207068877574</v>
      </c>
    </row>
    <row r="44" spans="1:33">
      <c r="A44">
        <v>2015</v>
      </c>
      <c r="B44">
        <v>211</v>
      </c>
      <c r="Q44">
        <v>211</v>
      </c>
      <c r="R44" t="b">
        <f t="shared" si="1"/>
        <v>1</v>
      </c>
      <c r="U44">
        <v>2015</v>
      </c>
      <c r="V44">
        <v>211</v>
      </c>
      <c r="W44">
        <f t="shared" si="2"/>
        <v>67.779293112242613</v>
      </c>
      <c r="X44">
        <f t="shared" si="3"/>
        <v>203.0207068877574</v>
      </c>
    </row>
    <row r="45" spans="1:33">
      <c r="A45">
        <v>2016</v>
      </c>
      <c r="B45">
        <v>105</v>
      </c>
      <c r="E45" s="12" t="s">
        <v>75</v>
      </c>
      <c r="Q45">
        <v>105</v>
      </c>
      <c r="R45" t="b">
        <f t="shared" si="1"/>
        <v>0</v>
      </c>
      <c r="U45">
        <v>2016</v>
      </c>
      <c r="V45">
        <v>105</v>
      </c>
      <c r="W45">
        <f t="shared" si="2"/>
        <v>67.779293112242613</v>
      </c>
      <c r="X45">
        <f t="shared" si="3"/>
        <v>203.0207068877574</v>
      </c>
    </row>
    <row r="46" spans="1:33">
      <c r="A46">
        <v>2017</v>
      </c>
      <c r="B46">
        <v>145</v>
      </c>
      <c r="E46" s="12" t="s">
        <v>76</v>
      </c>
      <c r="Q46">
        <v>145</v>
      </c>
      <c r="R46" t="b">
        <f t="shared" si="1"/>
        <v>0</v>
      </c>
      <c r="U46">
        <v>2017</v>
      </c>
      <c r="V46">
        <v>145</v>
      </c>
      <c r="W46">
        <f t="shared" si="2"/>
        <v>67.779293112242613</v>
      </c>
      <c r="X46">
        <f t="shared" si="3"/>
        <v>203.0207068877574</v>
      </c>
    </row>
    <row r="47" spans="1:33">
      <c r="A47">
        <v>2018</v>
      </c>
      <c r="B47">
        <v>153</v>
      </c>
      <c r="Q47">
        <v>153</v>
      </c>
      <c r="R47" t="b">
        <f t="shared" si="1"/>
        <v>0</v>
      </c>
      <c r="U47">
        <v>2018</v>
      </c>
      <c r="V47">
        <v>153</v>
      </c>
      <c r="W47">
        <f t="shared" si="2"/>
        <v>67.779293112242613</v>
      </c>
      <c r="X47">
        <f t="shared" si="3"/>
        <v>203.0207068877574</v>
      </c>
    </row>
    <row r="48" spans="1:33">
      <c r="A48">
        <v>2019</v>
      </c>
      <c r="B48">
        <v>152</v>
      </c>
      <c r="E48" s="12" t="s">
        <v>60</v>
      </c>
      <c r="H48" t="s">
        <v>92</v>
      </c>
      <c r="O48">
        <f>F36-(2*F40)</f>
        <v>67.779293112242613</v>
      </c>
      <c r="Q48">
        <v>152</v>
      </c>
      <c r="R48" t="b">
        <f t="shared" si="1"/>
        <v>0</v>
      </c>
      <c r="U48">
        <v>2019</v>
      </c>
      <c r="V48">
        <v>152</v>
      </c>
      <c r="W48">
        <f t="shared" si="2"/>
        <v>67.779293112242613</v>
      </c>
      <c r="X48">
        <f t="shared" si="3"/>
        <v>203.0207068877574</v>
      </c>
    </row>
    <row r="49" spans="1:24">
      <c r="A49">
        <v>2020</v>
      </c>
      <c r="B49">
        <v>138</v>
      </c>
      <c r="E49" s="12" t="s">
        <v>62</v>
      </c>
      <c r="H49" t="s">
        <v>93</v>
      </c>
      <c r="O49">
        <f>F36+(2*F40)</f>
        <v>203.0207068877574</v>
      </c>
      <c r="Q49">
        <v>138</v>
      </c>
      <c r="R49" t="b">
        <f t="shared" si="1"/>
        <v>0</v>
      </c>
      <c r="U49">
        <v>2020</v>
      </c>
      <c r="V49">
        <v>138</v>
      </c>
      <c r="W49">
        <f t="shared" si="2"/>
        <v>67.779293112242613</v>
      </c>
      <c r="X49">
        <f t="shared" si="3"/>
        <v>203.0207068877574</v>
      </c>
    </row>
    <row r="50" spans="1:24">
      <c r="A50">
        <v>2021</v>
      </c>
      <c r="B50">
        <v>87</v>
      </c>
      <c r="Q50">
        <v>87</v>
      </c>
      <c r="R50" t="b">
        <f t="shared" si="1"/>
        <v>0</v>
      </c>
      <c r="U50">
        <v>2021</v>
      </c>
      <c r="V50">
        <v>87</v>
      </c>
      <c r="W50">
        <f t="shared" si="2"/>
        <v>67.779293112242613</v>
      </c>
      <c r="X50">
        <f t="shared" si="3"/>
        <v>203.0207068877574</v>
      </c>
    </row>
    <row r="51" spans="1:24">
      <c r="A51">
        <v>2022</v>
      </c>
      <c r="B51">
        <v>99</v>
      </c>
      <c r="Q51">
        <v>99</v>
      </c>
      <c r="R51" t="b">
        <f t="shared" si="1"/>
        <v>0</v>
      </c>
      <c r="U51">
        <v>2022</v>
      </c>
      <c r="V51">
        <v>99</v>
      </c>
      <c r="W51">
        <f t="shared" si="2"/>
        <v>67.779293112242613</v>
      </c>
      <c r="X51">
        <f t="shared" si="3"/>
        <v>203.0207068877574</v>
      </c>
    </row>
    <row r="52" spans="1:24">
      <c r="A52">
        <v>2023</v>
      </c>
      <c r="B52">
        <v>93</v>
      </c>
      <c r="Q52">
        <v>93</v>
      </c>
      <c r="R52" t="b">
        <f t="shared" si="1"/>
        <v>0</v>
      </c>
      <c r="U52">
        <v>2023</v>
      </c>
      <c r="V52">
        <v>93</v>
      </c>
      <c r="W52">
        <f t="shared" si="2"/>
        <v>67.779293112242613</v>
      </c>
      <c r="X52">
        <f t="shared" si="3"/>
        <v>203.0207068877574</v>
      </c>
    </row>
    <row r="53" spans="1:24">
      <c r="A53">
        <v>2024</v>
      </c>
      <c r="B53">
        <v>119</v>
      </c>
      <c r="Q53">
        <v>119</v>
      </c>
      <c r="R53" t="b">
        <f t="shared" si="1"/>
        <v>0</v>
      </c>
      <c r="U53">
        <v>2024</v>
      </c>
      <c r="V53">
        <v>119</v>
      </c>
      <c r="W53">
        <f t="shared" si="2"/>
        <v>67.779293112242613</v>
      </c>
      <c r="X53">
        <f t="shared" si="3"/>
        <v>203.0207068877574</v>
      </c>
    </row>
    <row r="54" spans="1:24">
      <c r="A54">
        <v>2025</v>
      </c>
      <c r="B54">
        <v>129</v>
      </c>
      <c r="Q54">
        <v>129</v>
      </c>
      <c r="R54" t="b">
        <f t="shared" si="1"/>
        <v>0</v>
      </c>
      <c r="U54">
        <v>2025</v>
      </c>
      <c r="V54">
        <v>129</v>
      </c>
      <c r="W54">
        <f t="shared" si="2"/>
        <v>67.779293112242613</v>
      </c>
      <c r="X54">
        <f t="shared" si="3"/>
        <v>203.0207068877574</v>
      </c>
    </row>
    <row r="55" spans="1:24">
      <c r="A55">
        <v>2026</v>
      </c>
      <c r="B55">
        <v>145</v>
      </c>
      <c r="Q55">
        <v>145</v>
      </c>
      <c r="R55" t="b">
        <f t="shared" si="1"/>
        <v>0</v>
      </c>
      <c r="U55">
        <v>2026</v>
      </c>
      <c r="V55">
        <v>145</v>
      </c>
      <c r="W55">
        <f t="shared" si="2"/>
        <v>67.779293112242613</v>
      </c>
      <c r="X55">
        <f t="shared" si="3"/>
        <v>203.0207068877574</v>
      </c>
    </row>
    <row r="62" spans="1:24">
      <c r="A62" s="10"/>
      <c r="B62" s="10"/>
    </row>
  </sheetData>
  <sortState xmlns:xlrd2="http://schemas.microsoft.com/office/spreadsheetml/2017/richdata2" ref="N14:N26">
    <sortCondition ref="N14:N26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671C-345E-4F3A-B352-E3AE3F7D42D8}">
  <sheetPr>
    <tabColor rgb="FFFFC000"/>
  </sheetPr>
  <dimension ref="A1:I46"/>
  <sheetViews>
    <sheetView tabSelected="1" topLeftCell="C1" workbookViewId="0">
      <selection activeCell="E40" sqref="E40:H46"/>
    </sheetView>
  </sheetViews>
  <sheetFormatPr defaultRowHeight="14.45"/>
  <cols>
    <col min="1" max="1" width="110.7109375" bestFit="1" customWidth="1"/>
    <col min="3" max="3" width="113.42578125" bestFit="1" customWidth="1"/>
    <col min="6" max="6" width="12.42578125" bestFit="1" customWidth="1"/>
    <col min="7" max="7" width="11.28515625" bestFit="1" customWidth="1"/>
  </cols>
  <sheetData>
    <row r="1" spans="1:9">
      <c r="A1" s="10" t="s">
        <v>94</v>
      </c>
      <c r="B1" s="10"/>
      <c r="C1" s="30" t="s">
        <v>95</v>
      </c>
      <c r="E1" s="29" t="s">
        <v>96</v>
      </c>
      <c r="F1" s="29"/>
    </row>
    <row r="2" spans="1:9">
      <c r="C2" s="27"/>
      <c r="E2" t="s">
        <v>97</v>
      </c>
      <c r="F2" t="s">
        <v>98</v>
      </c>
    </row>
    <row r="3" spans="1:9">
      <c r="A3" s="10" t="s">
        <v>99</v>
      </c>
      <c r="B3" s="10"/>
      <c r="C3" s="30" t="s">
        <v>100</v>
      </c>
      <c r="E3" t="s">
        <v>101</v>
      </c>
      <c r="F3">
        <v>36</v>
      </c>
    </row>
    <row r="4" spans="1:9">
      <c r="A4" t="s">
        <v>102</v>
      </c>
      <c r="C4" s="27" t="s">
        <v>103</v>
      </c>
      <c r="E4" t="s">
        <v>104</v>
      </c>
      <c r="F4">
        <v>50</v>
      </c>
    </row>
    <row r="5" spans="1:9">
      <c r="A5" t="s">
        <v>105</v>
      </c>
      <c r="C5" s="27" t="s">
        <v>106</v>
      </c>
      <c r="E5" t="s">
        <v>107</v>
      </c>
      <c r="F5">
        <v>23</v>
      </c>
    </row>
    <row r="6" spans="1:9">
      <c r="A6" t="s">
        <v>108</v>
      </c>
      <c r="C6" s="27" t="s">
        <v>109</v>
      </c>
      <c r="E6" t="s">
        <v>107</v>
      </c>
      <c r="F6">
        <v>32</v>
      </c>
    </row>
    <row r="7" spans="1:9">
      <c r="A7" t="s">
        <v>110</v>
      </c>
      <c r="C7" s="27" t="s">
        <v>111</v>
      </c>
      <c r="E7" t="s">
        <v>107</v>
      </c>
      <c r="F7">
        <v>30</v>
      </c>
    </row>
    <row r="8" spans="1:9">
      <c r="C8" s="27"/>
      <c r="E8" t="s">
        <v>101</v>
      </c>
      <c r="F8">
        <v>33</v>
      </c>
    </row>
    <row r="9" spans="1:9">
      <c r="A9" s="10" t="s">
        <v>112</v>
      </c>
      <c r="C9" s="30" t="s">
        <v>113</v>
      </c>
      <c r="E9" t="s">
        <v>101</v>
      </c>
      <c r="F9">
        <v>56</v>
      </c>
    </row>
    <row r="10" spans="1:9">
      <c r="A10" t="s">
        <v>114</v>
      </c>
      <c r="C10" s="27" t="s">
        <v>115</v>
      </c>
      <c r="E10" t="s">
        <v>107</v>
      </c>
      <c r="F10">
        <v>66</v>
      </c>
    </row>
    <row r="11" spans="1:9">
      <c r="A11" s="14" t="s">
        <v>116</v>
      </c>
      <c r="C11" s="27" t="s">
        <v>117</v>
      </c>
      <c r="E11" t="s">
        <v>107</v>
      </c>
      <c r="F11">
        <v>72</v>
      </c>
    </row>
    <row r="12" spans="1:9">
      <c r="A12" s="14" t="s">
        <v>118</v>
      </c>
      <c r="C12" s="27" t="s">
        <v>119</v>
      </c>
      <c r="E12" t="s">
        <v>101</v>
      </c>
      <c r="F12">
        <v>33</v>
      </c>
    </row>
    <row r="13" spans="1:9">
      <c r="A13" s="14" t="s">
        <v>120</v>
      </c>
      <c r="C13" s="27" t="s">
        <v>121</v>
      </c>
      <c r="E13" t="s">
        <v>101</v>
      </c>
      <c r="F13">
        <v>14</v>
      </c>
    </row>
    <row r="14" spans="1:9" ht="15">
      <c r="A14" s="14" t="s">
        <v>122</v>
      </c>
      <c r="C14" s="27" t="s">
        <v>123</v>
      </c>
      <c r="E14" t="s">
        <v>101</v>
      </c>
      <c r="F14">
        <v>47</v>
      </c>
      <c r="I14" s="26"/>
    </row>
    <row r="15" spans="1:9" ht="15">
      <c r="A15" s="14" t="s">
        <v>124</v>
      </c>
      <c r="C15" s="27" t="s">
        <v>125</v>
      </c>
      <c r="E15" t="s">
        <v>101</v>
      </c>
      <c r="F15">
        <v>81</v>
      </c>
      <c r="I15" s="26"/>
    </row>
    <row r="16" spans="1:9">
      <c r="A16" s="14"/>
      <c r="C16" s="27"/>
      <c r="E16" t="s">
        <v>101</v>
      </c>
      <c r="F16">
        <v>30</v>
      </c>
    </row>
    <row r="17" spans="1:8">
      <c r="A17" s="10" t="s">
        <v>126</v>
      </c>
      <c r="C17" s="31" t="s">
        <v>127</v>
      </c>
      <c r="E17" t="s">
        <v>101</v>
      </c>
      <c r="F17">
        <v>31</v>
      </c>
    </row>
    <row r="18" spans="1:8">
      <c r="A18" s="14" t="s">
        <v>128</v>
      </c>
      <c r="C18" s="27" t="s">
        <v>129</v>
      </c>
      <c r="E18" t="s">
        <v>101</v>
      </c>
      <c r="F18">
        <v>25</v>
      </c>
    </row>
    <row r="19" spans="1:8">
      <c r="A19" s="14" t="s">
        <v>130</v>
      </c>
      <c r="C19" s="27" t="s">
        <v>131</v>
      </c>
      <c r="E19" t="s">
        <v>101</v>
      </c>
      <c r="F19">
        <v>88</v>
      </c>
    </row>
    <row r="20" spans="1:8">
      <c r="C20" s="28"/>
      <c r="E20" t="s">
        <v>104</v>
      </c>
      <c r="F20">
        <v>41</v>
      </c>
    </row>
    <row r="21" spans="1:8">
      <c r="A21" s="10" t="s">
        <v>132</v>
      </c>
      <c r="C21" s="31" t="s">
        <v>133</v>
      </c>
      <c r="E21" t="s">
        <v>107</v>
      </c>
      <c r="F21">
        <v>29</v>
      </c>
    </row>
    <row r="22" spans="1:8">
      <c r="A22" t="s">
        <v>134</v>
      </c>
      <c r="C22" s="28" t="s">
        <v>135</v>
      </c>
      <c r="E22" t="s">
        <v>107</v>
      </c>
      <c r="F22">
        <v>17</v>
      </c>
    </row>
    <row r="23" spans="1:8">
      <c r="A23" t="s">
        <v>130</v>
      </c>
      <c r="C23" s="28" t="s">
        <v>131</v>
      </c>
    </row>
    <row r="24" spans="1:8">
      <c r="E24" s="29" t="s">
        <v>136</v>
      </c>
      <c r="F24" s="29"/>
      <c r="G24" s="29"/>
    </row>
    <row r="25" spans="1:8">
      <c r="E25" s="28"/>
      <c r="F25" s="28"/>
      <c r="G25" s="28"/>
    </row>
    <row r="26" spans="1:8">
      <c r="E26" s="27" t="s">
        <v>117</v>
      </c>
      <c r="F26" s="28"/>
      <c r="G26" s="28">
        <f>AVERAGE(Table3[vrednost])</f>
        <v>41.7</v>
      </c>
    </row>
    <row r="27" spans="1:8">
      <c r="E27" s="27" t="s">
        <v>119</v>
      </c>
      <c r="F27" s="28"/>
      <c r="G27" s="28">
        <f>_xlfn.MODE.SNGL(Table3[vrednost])</f>
        <v>30</v>
      </c>
    </row>
    <row r="28" spans="1:8">
      <c r="E28" s="27" t="s">
        <v>121</v>
      </c>
      <c r="F28" s="28"/>
      <c r="G28" s="28">
        <f>MEDIAN(Table3[vrednost])</f>
        <v>33</v>
      </c>
    </row>
    <row r="29" spans="1:8">
      <c r="E29" s="27" t="s">
        <v>123</v>
      </c>
      <c r="F29" s="28"/>
      <c r="G29" s="28">
        <f>_xlfn.VAR.P(Table3[vrednost])</f>
        <v>416.61</v>
      </c>
    </row>
    <row r="30" spans="1:8">
      <c r="E30" s="27" t="s">
        <v>125</v>
      </c>
      <c r="F30" s="28"/>
      <c r="G30" s="28">
        <f>_xlfn.STDEV.P(Table3[vrednost])</f>
        <v>20.411026431808864</v>
      </c>
    </row>
    <row r="32" spans="1:8">
      <c r="E32" s="29" t="s">
        <v>137</v>
      </c>
      <c r="F32" s="29"/>
      <c r="G32" s="29"/>
      <c r="H32" s="29"/>
    </row>
    <row r="33" spans="5:8">
      <c r="E33" s="28" t="s">
        <v>138</v>
      </c>
      <c r="F33" s="28"/>
      <c r="G33" s="28"/>
      <c r="H33" s="28"/>
    </row>
    <row r="34" spans="5:8">
      <c r="E34" s="28"/>
      <c r="F34" s="28"/>
      <c r="G34" s="28"/>
      <c r="H34" s="28"/>
    </row>
    <row r="35" spans="5:8">
      <c r="E35" s="28" t="s">
        <v>139</v>
      </c>
      <c r="F35" s="28">
        <f>G26-(2*G30)</f>
        <v>0.87794713638227506</v>
      </c>
      <c r="G35" s="28"/>
      <c r="H35" s="28"/>
    </row>
    <row r="36" spans="5:8">
      <c r="E36" s="28" t="s">
        <v>140</v>
      </c>
      <c r="F36" s="28">
        <f>G26+(2*G30)</f>
        <v>82.522052863617731</v>
      </c>
      <c r="G36" s="28"/>
      <c r="H36" s="28"/>
    </row>
    <row r="37" spans="5:8">
      <c r="E37" s="28"/>
      <c r="F37" s="28"/>
      <c r="G37" s="28"/>
      <c r="H37" s="28"/>
    </row>
    <row r="38" spans="5:8">
      <c r="E38" s="28" t="s">
        <v>141</v>
      </c>
      <c r="F38" s="28"/>
      <c r="G38" s="28"/>
      <c r="H38" s="28">
        <v>88</v>
      </c>
    </row>
    <row r="40" spans="5:8">
      <c r="E40" s="29" t="s">
        <v>142</v>
      </c>
      <c r="F40" s="29"/>
      <c r="G40" s="29"/>
      <c r="H40" s="29"/>
    </row>
    <row r="41" spans="5:8">
      <c r="E41" s="28" t="s">
        <v>143</v>
      </c>
      <c r="F41" s="28"/>
      <c r="G41" s="28"/>
      <c r="H41" s="28"/>
    </row>
    <row r="42" spans="5:8">
      <c r="E42" s="28"/>
      <c r="F42" s="28"/>
      <c r="G42" s="28"/>
      <c r="H42" s="28"/>
    </row>
    <row r="43" spans="5:8">
      <c r="E43" s="28" t="s">
        <v>139</v>
      </c>
      <c r="F43" s="28">
        <f>G26-(3*G30)</f>
        <v>-19.533079295426589</v>
      </c>
      <c r="G43" s="28"/>
      <c r="H43" s="28"/>
    </row>
    <row r="44" spans="5:8">
      <c r="E44" s="28" t="s">
        <v>140</v>
      </c>
      <c r="F44" s="28">
        <f>G26+(3*G30)</f>
        <v>102.93307929542659</v>
      </c>
      <c r="G44" s="28"/>
      <c r="H44" s="28"/>
    </row>
    <row r="45" spans="5:8">
      <c r="E45" s="28"/>
      <c r="F45" s="28"/>
      <c r="G45" s="28"/>
      <c r="H45" s="28"/>
    </row>
    <row r="46" spans="5:8">
      <c r="E46" s="28" t="s">
        <v>141</v>
      </c>
      <c r="F46" s="28"/>
      <c r="G46" s="28"/>
      <c r="H46" s="28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Aljaz Blatnik</dc:creator>
  <cp:keywords/>
  <dc:description/>
  <cp:lastModifiedBy/>
  <cp:revision/>
  <dcterms:created xsi:type="dcterms:W3CDTF">2015-06-05T18:17:20Z</dcterms:created>
  <dcterms:modified xsi:type="dcterms:W3CDTF">2026-10-27T13:36:09Z</dcterms:modified>
  <cp:category/>
  <cp:contentStatus/>
</cp:coreProperties>
</file>